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s" sheetId="1" state="visible" r:id="rId1"/>
    <sheet name="Lists" sheetId="2" state="visible" r:id="rId2"/>
    <sheet name="Summary" sheetId="3" state="visible" r:id="rId3"/>
    <sheet name="How to use" sheetId="4" state="visible" r:id="rId4"/>
  </sheets>
  <definedNames>
    <definedName name="Modules">OFFSET(Lists!$A$2,0,0,MAX(1,COUNTA(Lists!$A$2:$A$200)),1)</definedName>
    <definedName name="Severities">OFFSET(Lists!$B$2,0,0,MAX(1,COUNTA(Lists!$B$2:$B$200)),1)</definedName>
    <definedName name="Statuses">OFFSET(Lists!$C$2,0,0,MAX(1,COUNTA(Lists!$C$2:$C$200)),1)</definedName>
    <definedName name="RolesList">OFFSET(Lists!$D$2,0,0,MAX(1,COUNTA(Lists!$D$2:$D$200)),1)</definedName>
    <definedName name="Devices">OFFSET(Lists!$E$2,0,0,MAX(1,COUNTA(Lists!$E$2:$E$200)),1)</definedName>
    <definedName name="_xlnm._FilterDatabase" localSheetId="0" hidden="1">'Defects'!$A$1:$O$300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A6157"/>
    </font>
    <font>
      <b val="1"/>
      <color rgb="001A1D19"/>
      <sz val="14"/>
    </font>
    <font>
      <b val="1"/>
    </font>
    <font>
      <b val="1"/>
      <sz val="12"/>
    </font>
    <font>
      <b val="1"/>
      <color rgb="001A1D19"/>
      <sz val="16"/>
    </font>
    <font>
      <b val="1"/>
      <color rgb="000E7C3A"/>
    </font>
    <font>
      <b val="1"/>
      <color rgb="005A6157"/>
    </font>
  </fonts>
  <fills count="5">
    <fill>
      <patternFill/>
    </fill>
    <fill>
      <patternFill patternType="gray125"/>
    </fill>
    <fill>
      <patternFill patternType="solid">
        <fgColor rgb="000E7C3A"/>
      </patternFill>
    </fill>
    <fill>
      <patternFill patternType="solid">
        <fgColor rgb="00F2F4EF"/>
      </patternFill>
    </fill>
    <fill>
      <patternFill patternType="solid">
        <fgColor rgb="001A1D19"/>
      </patternFill>
    </fill>
  </fills>
  <borders count="2">
    <border>
      <left/>
      <right/>
      <top/>
      <bottom/>
      <diagonal/>
    </border>
    <border>
      <left style="thin">
        <color rgb="00D9DCD4"/>
      </left>
      <right style="thin">
        <color rgb="00D9DCD4"/>
      </right>
      <top style="thin">
        <color rgb="00D9DCD4"/>
      </top>
      <bottom style="thin">
        <color rgb="00D9DCD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</cellXfs>
  <cellStyles count="1">
    <cellStyle name="Normal" xfId="0" builtinId="0" hidden="0"/>
  </cellStyles>
  <dxfs count="5">
    <dxf>
      <font>
        <b val="1"/>
        <color rgb="008A1C10"/>
      </font>
      <fill>
        <patternFill patternType="solid">
          <fgColor rgb="00F6D5D2"/>
        </patternFill>
      </fill>
    </dxf>
    <dxf>
      <font>
        <b val="1"/>
        <color rgb="008A5510"/>
      </font>
      <fill>
        <patternFill patternType="solid">
          <fgColor rgb="00FBE5C8"/>
        </patternFill>
      </fill>
    </dxf>
    <dxf>
      <font>
        <b val="1"/>
        <color rgb="000A5A2A"/>
      </font>
      <fill>
        <patternFill patternType="solid">
          <fgColor rgb="00E6F0E9"/>
        </patternFill>
      </fill>
    </dxf>
    <dxf>
      <font>
        <b val="1"/>
        <color rgb="005A6157"/>
      </font>
      <fill>
        <patternFill patternType="solid">
          <fgColor rgb="00E7E9E4"/>
        </patternFill>
      </fill>
    </dxf>
    <dxf>
      <font>
        <b val="1"/>
        <color rgb="001B3F72"/>
      </font>
      <fill>
        <patternFill patternType="solid">
          <fgColor rgb="00DCE6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26" customWidth="1" min="4" max="4"/>
    <col width="16" customWidth="1" min="5" max="5"/>
    <col width="13" customWidth="1" min="6" max="6"/>
    <col width="38" customWidth="1" min="7" max="7"/>
    <col width="46" customWidth="1" min="8" max="8"/>
    <col width="32" customWidth="1" min="9" max="9"/>
    <col width="32" customWidth="1" min="10" max="10"/>
    <col width="13" customWidth="1" min="11" max="11"/>
    <col width="17" customWidth="1" min="12" max="12"/>
    <col width="15" customWidth="1" min="13" max="13"/>
    <col width="13" customWidth="1" min="14" max="14"/>
    <col width="30" customWidth="1" min="15" max="15"/>
  </cols>
  <sheetData>
    <row r="1" ht="28" customHeight="1">
      <c r="A1" s="1" t="inlineStr">
        <is>
          <t>ID</t>
        </is>
      </c>
      <c r="B1" s="1" t="inlineStr">
        <is>
          <t>Date raised</t>
        </is>
      </c>
      <c r="C1" s="1" t="inlineStr">
        <is>
          <t>Raised by</t>
        </is>
      </c>
      <c r="D1" s="1" t="inlineStr">
        <is>
          <t>Module</t>
        </is>
      </c>
      <c r="E1" s="1" t="inlineStr">
        <is>
          <t>Role when seen</t>
        </is>
      </c>
      <c r="F1" s="1" t="inlineStr">
        <is>
          <t>Device</t>
        </is>
      </c>
      <c r="G1" s="1" t="inlineStr">
        <is>
          <t>Summary</t>
        </is>
      </c>
      <c r="H1" s="1" t="inlineStr">
        <is>
          <t>Steps to reproduce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Severity</t>
        </is>
      </c>
      <c r="L1" s="1" t="inlineStr">
        <is>
          <t>Status</t>
        </is>
      </c>
      <c r="M1" s="1" t="inlineStr">
        <is>
          <t>Assigned to</t>
        </is>
      </c>
      <c r="N1" s="1" t="inlineStr">
        <is>
          <t>Date closed</t>
        </is>
      </c>
      <c r="O1" s="1" t="inlineStr">
        <is>
          <t>Notes</t>
        </is>
      </c>
    </row>
    <row r="2">
      <c r="A2" s="2">
        <f>IF(COUNTA(B2:O2)=0,"","D-"&amp;TEXT(ROW()-1,"000"))</f>
        <v/>
      </c>
      <c r="B2" s="3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  <c r="O2" s="2" t="n"/>
    </row>
    <row r="3">
      <c r="A3" s="4">
        <f>IF(COUNTA(B3:O3)=0,"","D-"&amp;TEXT(ROW()-1,"000"))</f>
        <v/>
      </c>
      <c r="B3" s="5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 t="n"/>
      <c r="O3" s="4" t="n"/>
    </row>
    <row r="4">
      <c r="A4" s="2">
        <f>IF(COUNTA(B4:O4)=0,"","D-"&amp;TEXT(ROW()-1,"000"))</f>
        <v/>
      </c>
      <c r="B4" s="3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3" t="n"/>
      <c r="O4" s="2" t="n"/>
    </row>
    <row r="5">
      <c r="A5" s="4">
        <f>IF(COUNTA(B5:O5)=0,"","D-"&amp;TEXT(ROW()-1,"000"))</f>
        <v/>
      </c>
      <c r="B5" s="5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 t="n"/>
      <c r="O5" s="4" t="n"/>
    </row>
    <row r="6">
      <c r="A6" s="2">
        <f>IF(COUNTA(B6:O6)=0,"","D-"&amp;TEXT(ROW()-1,"000"))</f>
        <v/>
      </c>
      <c r="B6" s="3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" t="n"/>
      <c r="O6" s="2" t="n"/>
    </row>
    <row r="7">
      <c r="A7" s="4">
        <f>IF(COUNTA(B7:O7)=0,"","D-"&amp;TEXT(ROW()-1,"000"))</f>
        <v/>
      </c>
      <c r="B7" s="5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 t="n"/>
      <c r="O7" s="4" t="n"/>
    </row>
    <row r="8">
      <c r="A8" s="2">
        <f>IF(COUNTA(B8:O8)=0,"","D-"&amp;TEXT(ROW()-1,"000"))</f>
        <v/>
      </c>
      <c r="B8" s="3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 t="n"/>
      <c r="O8" s="2" t="n"/>
    </row>
    <row r="9">
      <c r="A9" s="4">
        <f>IF(COUNTA(B9:O9)=0,"","D-"&amp;TEXT(ROW()-1,"000"))</f>
        <v/>
      </c>
      <c r="B9" s="5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 t="n"/>
      <c r="O9" s="4" t="n"/>
    </row>
    <row r="10">
      <c r="A10" s="2">
        <f>IF(COUNTA(B10:O10)=0,"","D-"&amp;TEXT(ROW()-1,"000"))</f>
        <v/>
      </c>
      <c r="B10" s="3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 t="n"/>
      <c r="O10" s="2" t="n"/>
    </row>
    <row r="11">
      <c r="A11" s="4">
        <f>IF(COUNTA(B11:O11)=0,"","D-"&amp;TEXT(ROW()-1,"000"))</f>
        <v/>
      </c>
      <c r="B11" s="5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5" t="n"/>
      <c r="O11" s="4" t="n"/>
    </row>
    <row r="12">
      <c r="A12" s="2">
        <f>IF(COUNTA(B12:O12)=0,"","D-"&amp;TEXT(ROW()-1,"000"))</f>
        <v/>
      </c>
      <c r="B12" s="3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/>
      <c r="O12" s="2" t="n"/>
    </row>
    <row r="13">
      <c r="A13" s="4">
        <f>IF(COUNTA(B13:O13)=0,"","D-"&amp;TEXT(ROW()-1,"000"))</f>
        <v/>
      </c>
      <c r="B13" s="5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5" t="n"/>
      <c r="O13" s="4" t="n"/>
    </row>
    <row r="14">
      <c r="A14" s="2">
        <f>IF(COUNTA(B14:O14)=0,"","D-"&amp;TEXT(ROW()-1,"000"))</f>
        <v/>
      </c>
      <c r="B14" s="3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/>
      <c r="O14" s="2" t="n"/>
    </row>
    <row r="15">
      <c r="A15" s="4">
        <f>IF(COUNTA(B15:O15)=0,"","D-"&amp;TEXT(ROW()-1,"000"))</f>
        <v/>
      </c>
      <c r="B15" s="5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5" t="n"/>
      <c r="O15" s="4" t="n"/>
    </row>
    <row r="16">
      <c r="A16" s="2">
        <f>IF(COUNTA(B16:O16)=0,"","D-"&amp;TEXT(ROW()-1,"000"))</f>
        <v/>
      </c>
      <c r="B16" s="3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/>
      <c r="O16" s="2" t="n"/>
    </row>
    <row r="17">
      <c r="A17" s="4">
        <f>IF(COUNTA(B17:O17)=0,"","D-"&amp;TEXT(ROW()-1,"000"))</f>
        <v/>
      </c>
      <c r="B17" s="5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5" t="n"/>
      <c r="O17" s="4" t="n"/>
    </row>
    <row r="18">
      <c r="A18" s="2">
        <f>IF(COUNTA(B18:O18)=0,"","D-"&amp;TEXT(ROW()-1,"000"))</f>
        <v/>
      </c>
      <c r="B18" s="3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  <c r="O18" s="2" t="n"/>
    </row>
    <row r="19">
      <c r="A19" s="4">
        <f>IF(COUNTA(B19:O19)=0,"","D-"&amp;TEXT(ROW()-1,"000"))</f>
        <v/>
      </c>
      <c r="B19" s="5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5" t="n"/>
      <c r="O19" s="4" t="n"/>
    </row>
    <row r="20">
      <c r="A20" s="2">
        <f>IF(COUNTA(B20:O20)=0,"","D-"&amp;TEXT(ROW()-1,"000"))</f>
        <v/>
      </c>
      <c r="B20" s="3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  <c r="O20" s="2" t="n"/>
    </row>
    <row r="21">
      <c r="A21" s="4">
        <f>IF(COUNTA(B21:O21)=0,"","D-"&amp;TEXT(ROW()-1,"000"))</f>
        <v/>
      </c>
      <c r="B21" s="5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5" t="n"/>
      <c r="O21" s="4" t="n"/>
    </row>
    <row r="22">
      <c r="A22" s="2">
        <f>IF(COUNTA(B22:O22)=0,"","D-"&amp;TEXT(ROW()-1,"000"))</f>
        <v/>
      </c>
      <c r="B22" s="3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  <c r="O22" s="2" t="n"/>
    </row>
    <row r="23">
      <c r="A23" s="4">
        <f>IF(COUNTA(B23:O23)=0,"","D-"&amp;TEXT(ROW()-1,"000"))</f>
        <v/>
      </c>
      <c r="B23" s="5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5" t="n"/>
      <c r="O23" s="4" t="n"/>
    </row>
    <row r="24">
      <c r="A24" s="2">
        <f>IF(COUNTA(B24:O24)=0,"","D-"&amp;TEXT(ROW()-1,"000"))</f>
        <v/>
      </c>
      <c r="B24" s="3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  <c r="O24" s="2" t="n"/>
    </row>
    <row r="25">
      <c r="A25" s="4">
        <f>IF(COUNTA(B25:O25)=0,"","D-"&amp;TEXT(ROW()-1,"000"))</f>
        <v/>
      </c>
      <c r="B25" s="5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5" t="n"/>
      <c r="O25" s="4" t="n"/>
    </row>
    <row r="26">
      <c r="A26" s="2">
        <f>IF(COUNTA(B26:O26)=0,"","D-"&amp;TEXT(ROW()-1,"000"))</f>
        <v/>
      </c>
      <c r="B26" s="3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  <c r="O26" s="2" t="n"/>
    </row>
    <row r="27">
      <c r="A27" s="4">
        <f>IF(COUNTA(B27:O27)=0,"","D-"&amp;TEXT(ROW()-1,"000"))</f>
        <v/>
      </c>
      <c r="B27" s="5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5" t="n"/>
      <c r="O27" s="4" t="n"/>
    </row>
    <row r="28">
      <c r="A28" s="2">
        <f>IF(COUNTA(B28:O28)=0,"","D-"&amp;TEXT(ROW()-1,"000"))</f>
        <v/>
      </c>
      <c r="B28" s="3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  <c r="O28" s="2" t="n"/>
    </row>
    <row r="29">
      <c r="A29" s="4">
        <f>IF(COUNTA(B29:O29)=0,"","D-"&amp;TEXT(ROW()-1,"000"))</f>
        <v/>
      </c>
      <c r="B29" s="5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5" t="n"/>
      <c r="O29" s="4" t="n"/>
    </row>
    <row r="30">
      <c r="A30" s="2">
        <f>IF(COUNTA(B30:O30)=0,"","D-"&amp;TEXT(ROW()-1,"000"))</f>
        <v/>
      </c>
      <c r="B30" s="3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  <c r="O30" s="2" t="n"/>
    </row>
    <row r="31">
      <c r="A31" s="4">
        <f>IF(COUNTA(B31:O31)=0,"","D-"&amp;TEXT(ROW()-1,"000"))</f>
        <v/>
      </c>
      <c r="B31" s="5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5" t="n"/>
      <c r="O31" s="4" t="n"/>
    </row>
    <row r="32">
      <c r="A32" s="2">
        <f>IF(COUNTA(B32:O32)=0,"","D-"&amp;TEXT(ROW()-1,"000"))</f>
        <v/>
      </c>
      <c r="B32" s="3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  <c r="O32" s="2" t="n"/>
    </row>
    <row r="33">
      <c r="A33" s="4">
        <f>IF(COUNTA(B33:O33)=0,"","D-"&amp;TEXT(ROW()-1,"000"))</f>
        <v/>
      </c>
      <c r="B33" s="5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5" t="n"/>
      <c r="O33" s="4" t="n"/>
    </row>
    <row r="34">
      <c r="A34" s="2">
        <f>IF(COUNTA(B34:O34)=0,"","D-"&amp;TEXT(ROW()-1,"000"))</f>
        <v/>
      </c>
      <c r="B34" s="3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3" t="n"/>
      <c r="O34" s="2" t="n"/>
    </row>
    <row r="35">
      <c r="A35" s="4">
        <f>IF(COUNTA(B35:O35)=0,"","D-"&amp;TEXT(ROW()-1,"000"))</f>
        <v/>
      </c>
      <c r="B35" s="5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5" t="n"/>
      <c r="O35" s="4" t="n"/>
    </row>
    <row r="36">
      <c r="A36" s="2">
        <f>IF(COUNTA(B36:O36)=0,"","D-"&amp;TEXT(ROW()-1,"000"))</f>
        <v/>
      </c>
      <c r="B36" s="3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3" t="n"/>
      <c r="O36" s="2" t="n"/>
    </row>
    <row r="37">
      <c r="A37" s="4">
        <f>IF(COUNTA(B37:O37)=0,"","D-"&amp;TEXT(ROW()-1,"000"))</f>
        <v/>
      </c>
      <c r="B37" s="5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5" t="n"/>
      <c r="O37" s="4" t="n"/>
    </row>
    <row r="38">
      <c r="A38" s="2">
        <f>IF(COUNTA(B38:O38)=0,"","D-"&amp;TEXT(ROW()-1,"000"))</f>
        <v/>
      </c>
      <c r="B38" s="3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3" t="n"/>
      <c r="O38" s="2" t="n"/>
    </row>
    <row r="39">
      <c r="A39" s="4">
        <f>IF(COUNTA(B39:O39)=0,"","D-"&amp;TEXT(ROW()-1,"000"))</f>
        <v/>
      </c>
      <c r="B39" s="5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5" t="n"/>
      <c r="O39" s="4" t="n"/>
    </row>
    <row r="40">
      <c r="A40" s="2">
        <f>IF(COUNTA(B40:O40)=0,"","D-"&amp;TEXT(ROW()-1,"000"))</f>
        <v/>
      </c>
      <c r="B40" s="3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3" t="n"/>
      <c r="O40" s="2" t="n"/>
    </row>
    <row r="41">
      <c r="A41" s="4">
        <f>IF(COUNTA(B41:O41)=0,"","D-"&amp;TEXT(ROW()-1,"000"))</f>
        <v/>
      </c>
      <c r="B41" s="5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5" t="n"/>
      <c r="O41" s="4" t="n"/>
    </row>
    <row r="42">
      <c r="A42" s="2">
        <f>IF(COUNTA(B42:O42)=0,"","D-"&amp;TEXT(ROW()-1,"000"))</f>
        <v/>
      </c>
      <c r="B42" s="3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3" t="n"/>
      <c r="O42" s="2" t="n"/>
    </row>
    <row r="43">
      <c r="A43" s="4">
        <f>IF(COUNTA(B43:O43)=0,"","D-"&amp;TEXT(ROW()-1,"000"))</f>
        <v/>
      </c>
      <c r="B43" s="5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5" t="n"/>
      <c r="O43" s="4" t="n"/>
    </row>
    <row r="44">
      <c r="A44" s="2">
        <f>IF(COUNTA(B44:O44)=0,"","D-"&amp;TEXT(ROW()-1,"000"))</f>
        <v/>
      </c>
      <c r="B44" s="3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3" t="n"/>
      <c r="O44" s="2" t="n"/>
    </row>
    <row r="45">
      <c r="A45" s="4">
        <f>IF(COUNTA(B45:O45)=0,"","D-"&amp;TEXT(ROW()-1,"000"))</f>
        <v/>
      </c>
      <c r="B45" s="5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5" t="n"/>
      <c r="O45" s="4" t="n"/>
    </row>
    <row r="46">
      <c r="A46" s="2">
        <f>IF(COUNTA(B46:O46)=0,"","D-"&amp;TEXT(ROW()-1,"000"))</f>
        <v/>
      </c>
      <c r="B46" s="3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3" t="n"/>
      <c r="O46" s="2" t="n"/>
    </row>
    <row r="47">
      <c r="A47" s="4">
        <f>IF(COUNTA(B47:O47)=0,"","D-"&amp;TEXT(ROW()-1,"000"))</f>
        <v/>
      </c>
      <c r="B47" s="5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5" t="n"/>
      <c r="O47" s="4" t="n"/>
    </row>
    <row r="48">
      <c r="A48" s="2">
        <f>IF(COUNTA(B48:O48)=0,"","D-"&amp;TEXT(ROW()-1,"000"))</f>
        <v/>
      </c>
      <c r="B48" s="3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3" t="n"/>
      <c r="O48" s="2" t="n"/>
    </row>
    <row r="49">
      <c r="A49" s="4">
        <f>IF(COUNTA(B49:O49)=0,"","D-"&amp;TEXT(ROW()-1,"000"))</f>
        <v/>
      </c>
      <c r="B49" s="5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5" t="n"/>
      <c r="O49" s="4" t="n"/>
    </row>
    <row r="50">
      <c r="A50" s="2">
        <f>IF(COUNTA(B50:O50)=0,"","D-"&amp;TEXT(ROW()-1,"000"))</f>
        <v/>
      </c>
      <c r="B50" s="3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3" t="n"/>
      <c r="O50" s="2" t="n"/>
    </row>
    <row r="51">
      <c r="A51" s="4">
        <f>IF(COUNTA(B51:O51)=0,"","D-"&amp;TEXT(ROW()-1,"000"))</f>
        <v/>
      </c>
      <c r="B51" s="5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5" t="n"/>
      <c r="O51" s="4" t="n"/>
    </row>
    <row r="52">
      <c r="A52" s="2">
        <f>IF(COUNTA(B52:O52)=0,"","D-"&amp;TEXT(ROW()-1,"000"))</f>
        <v/>
      </c>
      <c r="B52" s="3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3" t="n"/>
      <c r="O52" s="2" t="n"/>
    </row>
    <row r="53">
      <c r="A53" s="4">
        <f>IF(COUNTA(B53:O53)=0,"","D-"&amp;TEXT(ROW()-1,"000"))</f>
        <v/>
      </c>
      <c r="B53" s="5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5" t="n"/>
      <c r="O53" s="4" t="n"/>
    </row>
    <row r="54">
      <c r="A54" s="2">
        <f>IF(COUNTA(B54:O54)=0,"","D-"&amp;TEXT(ROW()-1,"000"))</f>
        <v/>
      </c>
      <c r="B54" s="3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3" t="n"/>
      <c r="O54" s="2" t="n"/>
    </row>
    <row r="55">
      <c r="A55" s="4">
        <f>IF(COUNTA(B55:O55)=0,"","D-"&amp;TEXT(ROW()-1,"000"))</f>
        <v/>
      </c>
      <c r="B55" s="5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5" t="n"/>
      <c r="O55" s="4" t="n"/>
    </row>
    <row r="56">
      <c r="A56" s="2">
        <f>IF(COUNTA(B56:O56)=0,"","D-"&amp;TEXT(ROW()-1,"000"))</f>
        <v/>
      </c>
      <c r="B56" s="3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3" t="n"/>
      <c r="O56" s="2" t="n"/>
    </row>
    <row r="57">
      <c r="A57" s="4">
        <f>IF(COUNTA(B57:O57)=0,"","D-"&amp;TEXT(ROW()-1,"000"))</f>
        <v/>
      </c>
      <c r="B57" s="5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5" t="n"/>
      <c r="O57" s="4" t="n"/>
    </row>
    <row r="58">
      <c r="A58" s="2">
        <f>IF(COUNTA(B58:O58)=0,"","D-"&amp;TEXT(ROW()-1,"000"))</f>
        <v/>
      </c>
      <c r="B58" s="3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3" t="n"/>
      <c r="O58" s="2" t="n"/>
    </row>
    <row r="59">
      <c r="A59" s="4">
        <f>IF(COUNTA(B59:O59)=0,"","D-"&amp;TEXT(ROW()-1,"000"))</f>
        <v/>
      </c>
      <c r="B59" s="5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5" t="n"/>
      <c r="O59" s="4" t="n"/>
    </row>
    <row r="60">
      <c r="A60" s="2">
        <f>IF(COUNTA(B60:O60)=0,"","D-"&amp;TEXT(ROW()-1,"000"))</f>
        <v/>
      </c>
      <c r="B60" s="3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 t="n"/>
      <c r="O60" s="2" t="n"/>
    </row>
    <row r="61">
      <c r="A61" s="4">
        <f>IF(COUNTA(B61:O61)=0,"","D-"&amp;TEXT(ROW()-1,"000"))</f>
        <v/>
      </c>
      <c r="B61" s="5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5" t="n"/>
      <c r="O61" s="4" t="n"/>
    </row>
    <row r="62">
      <c r="A62" s="2">
        <f>IF(COUNTA(B62:O62)=0,"","D-"&amp;TEXT(ROW()-1,"000"))</f>
        <v/>
      </c>
      <c r="B62" s="3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3" t="n"/>
      <c r="O62" s="2" t="n"/>
    </row>
    <row r="63">
      <c r="A63" s="4">
        <f>IF(COUNTA(B63:O63)=0,"","D-"&amp;TEXT(ROW()-1,"000"))</f>
        <v/>
      </c>
      <c r="B63" s="5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5" t="n"/>
      <c r="O63" s="4" t="n"/>
    </row>
    <row r="64">
      <c r="A64" s="2">
        <f>IF(COUNTA(B64:O64)=0,"","D-"&amp;TEXT(ROW()-1,"000"))</f>
        <v/>
      </c>
      <c r="B64" s="3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3" t="n"/>
      <c r="O64" s="2" t="n"/>
    </row>
    <row r="65">
      <c r="A65" s="4">
        <f>IF(COUNTA(B65:O65)=0,"","D-"&amp;TEXT(ROW()-1,"000"))</f>
        <v/>
      </c>
      <c r="B65" s="5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5" t="n"/>
      <c r="O65" s="4" t="n"/>
    </row>
    <row r="66">
      <c r="A66" s="2">
        <f>IF(COUNTA(B66:O66)=0,"","D-"&amp;TEXT(ROW()-1,"000"))</f>
        <v/>
      </c>
      <c r="B66" s="3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3" t="n"/>
      <c r="O66" s="2" t="n"/>
    </row>
    <row r="67">
      <c r="A67" s="4">
        <f>IF(COUNTA(B67:O67)=0,"","D-"&amp;TEXT(ROW()-1,"000"))</f>
        <v/>
      </c>
      <c r="B67" s="5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5" t="n"/>
      <c r="O67" s="4" t="n"/>
    </row>
    <row r="68">
      <c r="A68" s="2">
        <f>IF(COUNTA(B68:O68)=0,"","D-"&amp;TEXT(ROW()-1,"000"))</f>
        <v/>
      </c>
      <c r="B68" s="3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3" t="n"/>
      <c r="O68" s="2" t="n"/>
    </row>
    <row r="69">
      <c r="A69" s="4">
        <f>IF(COUNTA(B69:O69)=0,"","D-"&amp;TEXT(ROW()-1,"000"))</f>
        <v/>
      </c>
      <c r="B69" s="5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5" t="n"/>
      <c r="O69" s="4" t="n"/>
    </row>
    <row r="70">
      <c r="A70" s="2">
        <f>IF(COUNTA(B70:O70)=0,"","D-"&amp;TEXT(ROW()-1,"000"))</f>
        <v/>
      </c>
      <c r="B70" s="3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3" t="n"/>
      <c r="O70" s="2" t="n"/>
    </row>
    <row r="71">
      <c r="A71" s="4">
        <f>IF(COUNTA(B71:O71)=0,"","D-"&amp;TEXT(ROW()-1,"000"))</f>
        <v/>
      </c>
      <c r="B71" s="5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5" t="n"/>
      <c r="O71" s="4" t="n"/>
    </row>
    <row r="72">
      <c r="A72" s="2">
        <f>IF(COUNTA(B72:O72)=0,"","D-"&amp;TEXT(ROW()-1,"000"))</f>
        <v/>
      </c>
      <c r="B72" s="3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3" t="n"/>
      <c r="O72" s="2" t="n"/>
    </row>
    <row r="73">
      <c r="A73" s="4">
        <f>IF(COUNTA(B73:O73)=0,"","D-"&amp;TEXT(ROW()-1,"000"))</f>
        <v/>
      </c>
      <c r="B73" s="5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5" t="n"/>
      <c r="O73" s="4" t="n"/>
    </row>
    <row r="74">
      <c r="A74" s="2">
        <f>IF(COUNTA(B74:O74)=0,"","D-"&amp;TEXT(ROW()-1,"000"))</f>
        <v/>
      </c>
      <c r="B74" s="3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3" t="n"/>
      <c r="O74" s="2" t="n"/>
    </row>
    <row r="75">
      <c r="A75" s="4">
        <f>IF(COUNTA(B75:O75)=0,"","D-"&amp;TEXT(ROW()-1,"000"))</f>
        <v/>
      </c>
      <c r="B75" s="5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5" t="n"/>
      <c r="O75" s="4" t="n"/>
    </row>
    <row r="76">
      <c r="A76" s="2">
        <f>IF(COUNTA(B76:O76)=0,"","D-"&amp;TEXT(ROW()-1,"000"))</f>
        <v/>
      </c>
      <c r="B76" s="3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3" t="n"/>
      <c r="O76" s="2" t="n"/>
    </row>
    <row r="77">
      <c r="A77" s="4">
        <f>IF(COUNTA(B77:O77)=0,"","D-"&amp;TEXT(ROW()-1,"000"))</f>
        <v/>
      </c>
      <c r="B77" s="5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5" t="n"/>
      <c r="O77" s="4" t="n"/>
    </row>
    <row r="78">
      <c r="A78" s="2">
        <f>IF(COUNTA(B78:O78)=0,"","D-"&amp;TEXT(ROW()-1,"000"))</f>
        <v/>
      </c>
      <c r="B78" s="3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3" t="n"/>
      <c r="O78" s="2" t="n"/>
    </row>
    <row r="79">
      <c r="A79" s="4">
        <f>IF(COUNTA(B79:O79)=0,"","D-"&amp;TEXT(ROW()-1,"000"))</f>
        <v/>
      </c>
      <c r="B79" s="5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5" t="n"/>
      <c r="O79" s="4" t="n"/>
    </row>
    <row r="80">
      <c r="A80" s="2">
        <f>IF(COUNTA(B80:O80)=0,"","D-"&amp;TEXT(ROW()-1,"000"))</f>
        <v/>
      </c>
      <c r="B80" s="3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3" t="n"/>
      <c r="O80" s="2" t="n"/>
    </row>
    <row r="81">
      <c r="A81" s="4">
        <f>IF(COUNTA(B81:O81)=0,"","D-"&amp;TEXT(ROW()-1,"000"))</f>
        <v/>
      </c>
      <c r="B81" s="5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5" t="n"/>
      <c r="O81" s="4" t="n"/>
    </row>
    <row r="82">
      <c r="A82" s="2">
        <f>IF(COUNTA(B82:O82)=0,"","D-"&amp;TEXT(ROW()-1,"000"))</f>
        <v/>
      </c>
      <c r="B82" s="3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3" t="n"/>
      <c r="O82" s="2" t="n"/>
    </row>
    <row r="83">
      <c r="A83" s="4">
        <f>IF(COUNTA(B83:O83)=0,"","D-"&amp;TEXT(ROW()-1,"000"))</f>
        <v/>
      </c>
      <c r="B83" s="5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5" t="n"/>
      <c r="O83" s="4" t="n"/>
    </row>
    <row r="84">
      <c r="A84" s="2">
        <f>IF(COUNTA(B84:O84)=0,"","D-"&amp;TEXT(ROW()-1,"000"))</f>
        <v/>
      </c>
      <c r="B84" s="3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3" t="n"/>
      <c r="O84" s="2" t="n"/>
    </row>
    <row r="85">
      <c r="A85" s="4">
        <f>IF(COUNTA(B85:O85)=0,"","D-"&amp;TEXT(ROW()-1,"000"))</f>
        <v/>
      </c>
      <c r="B85" s="5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5" t="n"/>
      <c r="O85" s="4" t="n"/>
    </row>
    <row r="86">
      <c r="A86" s="2">
        <f>IF(COUNTA(B86:O86)=0,"","D-"&amp;TEXT(ROW()-1,"000"))</f>
        <v/>
      </c>
      <c r="B86" s="3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3" t="n"/>
      <c r="O86" s="2" t="n"/>
    </row>
    <row r="87">
      <c r="A87" s="4">
        <f>IF(COUNTA(B87:O87)=0,"","D-"&amp;TEXT(ROW()-1,"000"))</f>
        <v/>
      </c>
      <c r="B87" s="5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5" t="n"/>
      <c r="O87" s="4" t="n"/>
    </row>
    <row r="88">
      <c r="A88" s="2">
        <f>IF(COUNTA(B88:O88)=0,"","D-"&amp;TEXT(ROW()-1,"000"))</f>
        <v/>
      </c>
      <c r="B88" s="3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3" t="n"/>
      <c r="O88" s="2" t="n"/>
    </row>
    <row r="89">
      <c r="A89" s="4">
        <f>IF(COUNTA(B89:O89)=0,"","D-"&amp;TEXT(ROW()-1,"000"))</f>
        <v/>
      </c>
      <c r="B89" s="5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5" t="n"/>
      <c r="O89" s="4" t="n"/>
    </row>
    <row r="90">
      <c r="A90" s="2">
        <f>IF(COUNTA(B90:O90)=0,"","D-"&amp;TEXT(ROW()-1,"000"))</f>
        <v/>
      </c>
      <c r="B90" s="3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3" t="n"/>
      <c r="O90" s="2" t="n"/>
    </row>
    <row r="91">
      <c r="A91" s="4">
        <f>IF(COUNTA(B91:O91)=0,"","D-"&amp;TEXT(ROW()-1,"000"))</f>
        <v/>
      </c>
      <c r="B91" s="5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5" t="n"/>
      <c r="O91" s="4" t="n"/>
    </row>
    <row r="92">
      <c r="A92" s="2">
        <f>IF(COUNTA(B92:O92)=0,"","D-"&amp;TEXT(ROW()-1,"000"))</f>
        <v/>
      </c>
      <c r="B92" s="3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3" t="n"/>
      <c r="O92" s="2" t="n"/>
    </row>
    <row r="93">
      <c r="A93" s="4">
        <f>IF(COUNTA(B93:O93)=0,"","D-"&amp;TEXT(ROW()-1,"000"))</f>
        <v/>
      </c>
      <c r="B93" s="5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5" t="n"/>
      <c r="O93" s="4" t="n"/>
    </row>
    <row r="94">
      <c r="A94" s="2">
        <f>IF(COUNTA(B94:O94)=0,"","D-"&amp;TEXT(ROW()-1,"000"))</f>
        <v/>
      </c>
      <c r="B94" s="3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3" t="n"/>
      <c r="O94" s="2" t="n"/>
    </row>
    <row r="95">
      <c r="A95" s="4">
        <f>IF(COUNTA(B95:O95)=0,"","D-"&amp;TEXT(ROW()-1,"000"))</f>
        <v/>
      </c>
      <c r="B95" s="5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5" t="n"/>
      <c r="O95" s="4" t="n"/>
    </row>
    <row r="96">
      <c r="A96" s="2">
        <f>IF(COUNTA(B96:O96)=0,"","D-"&amp;TEXT(ROW()-1,"000"))</f>
        <v/>
      </c>
      <c r="B96" s="3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3" t="n"/>
      <c r="O96" s="2" t="n"/>
    </row>
    <row r="97">
      <c r="A97" s="4">
        <f>IF(COUNTA(B97:O97)=0,"","D-"&amp;TEXT(ROW()-1,"000"))</f>
        <v/>
      </c>
      <c r="B97" s="5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5" t="n"/>
      <c r="O97" s="4" t="n"/>
    </row>
    <row r="98">
      <c r="A98" s="2">
        <f>IF(COUNTA(B98:O98)=0,"","D-"&amp;TEXT(ROW()-1,"000"))</f>
        <v/>
      </c>
      <c r="B98" s="3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3" t="n"/>
      <c r="O98" s="2" t="n"/>
    </row>
    <row r="99">
      <c r="A99" s="4">
        <f>IF(COUNTA(B99:O99)=0,"","D-"&amp;TEXT(ROW()-1,"000"))</f>
        <v/>
      </c>
      <c r="B99" s="5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5" t="n"/>
      <c r="O99" s="4" t="n"/>
    </row>
    <row r="100">
      <c r="A100" s="2">
        <f>IF(COUNTA(B100:O100)=0,"","D-"&amp;TEXT(ROW()-1,"000"))</f>
        <v/>
      </c>
      <c r="B100" s="3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3" t="n"/>
      <c r="O100" s="2" t="n"/>
    </row>
    <row r="101">
      <c r="A101" s="4">
        <f>IF(COUNTA(B101:O101)=0,"","D-"&amp;TEXT(ROW()-1,"000"))</f>
        <v/>
      </c>
      <c r="B101" s="5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5" t="n"/>
      <c r="O101" s="4" t="n"/>
    </row>
    <row r="102">
      <c r="A102" s="2">
        <f>IF(COUNTA(B102:O102)=0,"","D-"&amp;TEXT(ROW()-1,"000"))</f>
        <v/>
      </c>
      <c r="B102" s="3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3" t="n"/>
      <c r="O102" s="2" t="n"/>
    </row>
    <row r="103">
      <c r="A103" s="4">
        <f>IF(COUNTA(B103:O103)=0,"","D-"&amp;TEXT(ROW()-1,"000"))</f>
        <v/>
      </c>
      <c r="B103" s="5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5" t="n"/>
      <c r="O103" s="4" t="n"/>
    </row>
    <row r="104">
      <c r="A104" s="2">
        <f>IF(COUNTA(B104:O104)=0,"","D-"&amp;TEXT(ROW()-1,"000"))</f>
        <v/>
      </c>
      <c r="B104" s="3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3" t="n"/>
      <c r="O104" s="2" t="n"/>
    </row>
    <row r="105">
      <c r="A105" s="4">
        <f>IF(COUNTA(B105:O105)=0,"","D-"&amp;TEXT(ROW()-1,"000"))</f>
        <v/>
      </c>
      <c r="B105" s="5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5" t="n"/>
      <c r="O105" s="4" t="n"/>
    </row>
    <row r="106">
      <c r="A106" s="2">
        <f>IF(COUNTA(B106:O106)=0,"","D-"&amp;TEXT(ROW()-1,"000"))</f>
        <v/>
      </c>
      <c r="B106" s="3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3" t="n"/>
      <c r="O106" s="2" t="n"/>
    </row>
    <row r="107">
      <c r="A107" s="4">
        <f>IF(COUNTA(B107:O107)=0,"","D-"&amp;TEXT(ROW()-1,"000"))</f>
        <v/>
      </c>
      <c r="B107" s="5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5" t="n"/>
      <c r="O107" s="4" t="n"/>
    </row>
    <row r="108">
      <c r="A108" s="2">
        <f>IF(COUNTA(B108:O108)=0,"","D-"&amp;TEXT(ROW()-1,"000"))</f>
        <v/>
      </c>
      <c r="B108" s="3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3" t="n"/>
      <c r="O108" s="2" t="n"/>
    </row>
    <row r="109">
      <c r="A109" s="4">
        <f>IF(COUNTA(B109:O109)=0,"","D-"&amp;TEXT(ROW()-1,"000"))</f>
        <v/>
      </c>
      <c r="B109" s="5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5" t="n"/>
      <c r="O109" s="4" t="n"/>
    </row>
    <row r="110">
      <c r="A110" s="2">
        <f>IF(COUNTA(B110:O110)=0,"","D-"&amp;TEXT(ROW()-1,"000"))</f>
        <v/>
      </c>
      <c r="B110" s="3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3" t="n"/>
      <c r="O110" s="2" t="n"/>
    </row>
    <row r="111">
      <c r="A111" s="4">
        <f>IF(COUNTA(B111:O111)=0,"","D-"&amp;TEXT(ROW()-1,"000"))</f>
        <v/>
      </c>
      <c r="B111" s="5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5" t="n"/>
      <c r="O111" s="4" t="n"/>
    </row>
    <row r="112">
      <c r="A112" s="2">
        <f>IF(COUNTA(B112:O112)=0,"","D-"&amp;TEXT(ROW()-1,"000"))</f>
        <v/>
      </c>
      <c r="B112" s="3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3" t="n"/>
      <c r="O112" s="2" t="n"/>
    </row>
    <row r="113">
      <c r="A113" s="4">
        <f>IF(COUNTA(B113:O113)=0,"","D-"&amp;TEXT(ROW()-1,"000"))</f>
        <v/>
      </c>
      <c r="B113" s="5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5" t="n"/>
      <c r="O113" s="4" t="n"/>
    </row>
    <row r="114">
      <c r="A114" s="2">
        <f>IF(COUNTA(B114:O114)=0,"","D-"&amp;TEXT(ROW()-1,"000"))</f>
        <v/>
      </c>
      <c r="B114" s="3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3" t="n"/>
      <c r="O114" s="2" t="n"/>
    </row>
    <row r="115">
      <c r="A115" s="4">
        <f>IF(COUNTA(B115:O115)=0,"","D-"&amp;TEXT(ROW()-1,"000"))</f>
        <v/>
      </c>
      <c r="B115" s="5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5" t="n"/>
      <c r="O115" s="4" t="n"/>
    </row>
    <row r="116">
      <c r="A116" s="2">
        <f>IF(COUNTA(B116:O116)=0,"","D-"&amp;TEXT(ROW()-1,"000"))</f>
        <v/>
      </c>
      <c r="B116" s="3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3" t="n"/>
      <c r="O116" s="2" t="n"/>
    </row>
    <row r="117">
      <c r="A117" s="4">
        <f>IF(COUNTA(B117:O117)=0,"","D-"&amp;TEXT(ROW()-1,"000"))</f>
        <v/>
      </c>
      <c r="B117" s="5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5" t="n"/>
      <c r="O117" s="4" t="n"/>
    </row>
    <row r="118">
      <c r="A118" s="2">
        <f>IF(COUNTA(B118:O118)=0,"","D-"&amp;TEXT(ROW()-1,"000"))</f>
        <v/>
      </c>
      <c r="B118" s="3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3" t="n"/>
      <c r="O118" s="2" t="n"/>
    </row>
    <row r="119">
      <c r="A119" s="4">
        <f>IF(COUNTA(B119:O119)=0,"","D-"&amp;TEXT(ROW()-1,"000"))</f>
        <v/>
      </c>
      <c r="B119" s="5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5" t="n"/>
      <c r="O119" s="4" t="n"/>
    </row>
    <row r="120">
      <c r="A120" s="2">
        <f>IF(COUNTA(B120:O120)=0,"","D-"&amp;TEXT(ROW()-1,"000"))</f>
        <v/>
      </c>
      <c r="B120" s="3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3" t="n"/>
      <c r="O120" s="2" t="n"/>
    </row>
    <row r="121">
      <c r="A121" s="4">
        <f>IF(COUNTA(B121:O121)=0,"","D-"&amp;TEXT(ROW()-1,"000"))</f>
        <v/>
      </c>
      <c r="B121" s="5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5" t="n"/>
      <c r="O121" s="4" t="n"/>
    </row>
    <row r="122">
      <c r="A122" s="2">
        <f>IF(COUNTA(B122:O122)=0,"","D-"&amp;TEXT(ROW()-1,"000"))</f>
        <v/>
      </c>
      <c r="B122" s="3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3" t="n"/>
      <c r="O122" s="2" t="n"/>
    </row>
    <row r="123">
      <c r="A123" s="4">
        <f>IF(COUNTA(B123:O123)=0,"","D-"&amp;TEXT(ROW()-1,"000"))</f>
        <v/>
      </c>
      <c r="B123" s="5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5" t="n"/>
      <c r="O123" s="4" t="n"/>
    </row>
    <row r="124">
      <c r="A124" s="2">
        <f>IF(COUNTA(B124:O124)=0,"","D-"&amp;TEXT(ROW()-1,"000"))</f>
        <v/>
      </c>
      <c r="B124" s="3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3" t="n"/>
      <c r="O124" s="2" t="n"/>
    </row>
    <row r="125">
      <c r="A125" s="4">
        <f>IF(COUNTA(B125:O125)=0,"","D-"&amp;TEXT(ROW()-1,"000"))</f>
        <v/>
      </c>
      <c r="B125" s="5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5" t="n"/>
      <c r="O125" s="4" t="n"/>
    </row>
    <row r="126">
      <c r="A126" s="2">
        <f>IF(COUNTA(B126:O126)=0,"","D-"&amp;TEXT(ROW()-1,"000"))</f>
        <v/>
      </c>
      <c r="B126" s="3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3" t="n"/>
      <c r="O126" s="2" t="n"/>
    </row>
    <row r="127">
      <c r="A127" s="4">
        <f>IF(COUNTA(B127:O127)=0,"","D-"&amp;TEXT(ROW()-1,"000"))</f>
        <v/>
      </c>
      <c r="B127" s="5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5" t="n"/>
      <c r="O127" s="4" t="n"/>
    </row>
    <row r="128">
      <c r="A128" s="2">
        <f>IF(COUNTA(B128:O128)=0,"","D-"&amp;TEXT(ROW()-1,"000"))</f>
        <v/>
      </c>
      <c r="B128" s="3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3" t="n"/>
      <c r="O128" s="2" t="n"/>
    </row>
    <row r="129">
      <c r="A129" s="4">
        <f>IF(COUNTA(B129:O129)=0,"","D-"&amp;TEXT(ROW()-1,"000"))</f>
        <v/>
      </c>
      <c r="B129" s="5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5" t="n"/>
      <c r="O129" s="4" t="n"/>
    </row>
    <row r="130">
      <c r="A130" s="2">
        <f>IF(COUNTA(B130:O130)=0,"","D-"&amp;TEXT(ROW()-1,"000"))</f>
        <v/>
      </c>
      <c r="B130" s="3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3" t="n"/>
      <c r="O130" s="2" t="n"/>
    </row>
    <row r="131">
      <c r="A131" s="4">
        <f>IF(COUNTA(B131:O131)=0,"","D-"&amp;TEXT(ROW()-1,"000"))</f>
        <v/>
      </c>
      <c r="B131" s="5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5" t="n"/>
      <c r="O131" s="4" t="n"/>
    </row>
    <row r="132">
      <c r="A132" s="2">
        <f>IF(COUNTA(B132:O132)=0,"","D-"&amp;TEXT(ROW()-1,"000"))</f>
        <v/>
      </c>
      <c r="B132" s="3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3" t="n"/>
      <c r="O132" s="2" t="n"/>
    </row>
    <row r="133">
      <c r="A133" s="4">
        <f>IF(COUNTA(B133:O133)=0,"","D-"&amp;TEXT(ROW()-1,"000"))</f>
        <v/>
      </c>
      <c r="B133" s="5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5" t="n"/>
      <c r="O133" s="4" t="n"/>
    </row>
    <row r="134">
      <c r="A134" s="2">
        <f>IF(COUNTA(B134:O134)=0,"","D-"&amp;TEXT(ROW()-1,"000"))</f>
        <v/>
      </c>
      <c r="B134" s="3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3" t="n"/>
      <c r="O134" s="2" t="n"/>
    </row>
    <row r="135">
      <c r="A135" s="4">
        <f>IF(COUNTA(B135:O135)=0,"","D-"&amp;TEXT(ROW()-1,"000"))</f>
        <v/>
      </c>
      <c r="B135" s="5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5" t="n"/>
      <c r="O135" s="4" t="n"/>
    </row>
    <row r="136">
      <c r="A136" s="2">
        <f>IF(COUNTA(B136:O136)=0,"","D-"&amp;TEXT(ROW()-1,"000"))</f>
        <v/>
      </c>
      <c r="B136" s="3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3" t="n"/>
      <c r="O136" s="2" t="n"/>
    </row>
    <row r="137">
      <c r="A137" s="4">
        <f>IF(COUNTA(B137:O137)=0,"","D-"&amp;TEXT(ROW()-1,"000"))</f>
        <v/>
      </c>
      <c r="B137" s="5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5" t="n"/>
      <c r="O137" s="4" t="n"/>
    </row>
    <row r="138">
      <c r="A138" s="2">
        <f>IF(COUNTA(B138:O138)=0,"","D-"&amp;TEXT(ROW()-1,"000"))</f>
        <v/>
      </c>
      <c r="B138" s="3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3" t="n"/>
      <c r="O138" s="2" t="n"/>
    </row>
    <row r="139">
      <c r="A139" s="4">
        <f>IF(COUNTA(B139:O139)=0,"","D-"&amp;TEXT(ROW()-1,"000"))</f>
        <v/>
      </c>
      <c r="B139" s="5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5" t="n"/>
      <c r="O139" s="4" t="n"/>
    </row>
    <row r="140">
      <c r="A140" s="2">
        <f>IF(COUNTA(B140:O140)=0,"","D-"&amp;TEXT(ROW()-1,"000"))</f>
        <v/>
      </c>
      <c r="B140" s="3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3" t="n"/>
      <c r="O140" s="2" t="n"/>
    </row>
    <row r="141">
      <c r="A141" s="4">
        <f>IF(COUNTA(B141:O141)=0,"","D-"&amp;TEXT(ROW()-1,"000"))</f>
        <v/>
      </c>
      <c r="B141" s="5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5" t="n"/>
      <c r="O141" s="4" t="n"/>
    </row>
    <row r="142">
      <c r="A142" s="2">
        <f>IF(COUNTA(B142:O142)=0,"","D-"&amp;TEXT(ROW()-1,"000"))</f>
        <v/>
      </c>
      <c r="B142" s="3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3" t="n"/>
      <c r="O142" s="2" t="n"/>
    </row>
    <row r="143">
      <c r="A143" s="4">
        <f>IF(COUNTA(B143:O143)=0,"","D-"&amp;TEXT(ROW()-1,"000"))</f>
        <v/>
      </c>
      <c r="B143" s="5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5" t="n"/>
      <c r="O143" s="4" t="n"/>
    </row>
    <row r="144">
      <c r="A144" s="2">
        <f>IF(COUNTA(B144:O144)=0,"","D-"&amp;TEXT(ROW()-1,"000"))</f>
        <v/>
      </c>
      <c r="B144" s="3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3" t="n"/>
      <c r="O144" s="2" t="n"/>
    </row>
    <row r="145">
      <c r="A145" s="4">
        <f>IF(COUNTA(B145:O145)=0,"","D-"&amp;TEXT(ROW()-1,"000"))</f>
        <v/>
      </c>
      <c r="B145" s="5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5" t="n"/>
      <c r="O145" s="4" t="n"/>
    </row>
    <row r="146">
      <c r="A146" s="2">
        <f>IF(COUNTA(B146:O146)=0,"","D-"&amp;TEXT(ROW()-1,"000"))</f>
        <v/>
      </c>
      <c r="B146" s="3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3" t="n"/>
      <c r="O146" s="2" t="n"/>
    </row>
    <row r="147">
      <c r="A147" s="4">
        <f>IF(COUNTA(B147:O147)=0,"","D-"&amp;TEXT(ROW()-1,"000"))</f>
        <v/>
      </c>
      <c r="B147" s="5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5" t="n"/>
      <c r="O147" s="4" t="n"/>
    </row>
    <row r="148">
      <c r="A148" s="2">
        <f>IF(COUNTA(B148:O148)=0,"","D-"&amp;TEXT(ROW()-1,"000"))</f>
        <v/>
      </c>
      <c r="B148" s="3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3" t="n"/>
      <c r="O148" s="2" t="n"/>
    </row>
    <row r="149">
      <c r="A149" s="4">
        <f>IF(COUNTA(B149:O149)=0,"","D-"&amp;TEXT(ROW()-1,"000"))</f>
        <v/>
      </c>
      <c r="B149" s="5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5" t="n"/>
      <c r="O149" s="4" t="n"/>
    </row>
    <row r="150">
      <c r="A150" s="2">
        <f>IF(COUNTA(B150:O150)=0,"","D-"&amp;TEXT(ROW()-1,"000"))</f>
        <v/>
      </c>
      <c r="B150" s="3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3" t="n"/>
      <c r="O150" s="2" t="n"/>
    </row>
    <row r="151">
      <c r="A151" s="4">
        <f>IF(COUNTA(B151:O151)=0,"","D-"&amp;TEXT(ROW()-1,"000"))</f>
        <v/>
      </c>
      <c r="B151" s="5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5" t="n"/>
      <c r="O151" s="4" t="n"/>
    </row>
    <row r="152">
      <c r="A152" s="2">
        <f>IF(COUNTA(B152:O152)=0,"","D-"&amp;TEXT(ROW()-1,"000"))</f>
        <v/>
      </c>
      <c r="B152" s="3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3" t="n"/>
      <c r="O152" s="2" t="n"/>
    </row>
    <row r="153">
      <c r="A153" s="4">
        <f>IF(COUNTA(B153:O153)=0,"","D-"&amp;TEXT(ROW()-1,"000"))</f>
        <v/>
      </c>
      <c r="B153" s="5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5" t="n"/>
      <c r="O153" s="4" t="n"/>
    </row>
    <row r="154">
      <c r="A154" s="2">
        <f>IF(COUNTA(B154:O154)=0,"","D-"&amp;TEXT(ROW()-1,"000"))</f>
        <v/>
      </c>
      <c r="B154" s="3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3" t="n"/>
      <c r="O154" s="2" t="n"/>
    </row>
    <row r="155">
      <c r="A155" s="4">
        <f>IF(COUNTA(B155:O155)=0,"","D-"&amp;TEXT(ROW()-1,"000"))</f>
        <v/>
      </c>
      <c r="B155" s="5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5" t="n"/>
      <c r="O155" s="4" t="n"/>
    </row>
    <row r="156">
      <c r="A156" s="2">
        <f>IF(COUNTA(B156:O156)=0,"","D-"&amp;TEXT(ROW()-1,"000"))</f>
        <v/>
      </c>
      <c r="B156" s="3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3" t="n"/>
      <c r="O156" s="2" t="n"/>
    </row>
    <row r="157">
      <c r="A157" s="4">
        <f>IF(COUNTA(B157:O157)=0,"","D-"&amp;TEXT(ROW()-1,"000"))</f>
        <v/>
      </c>
      <c r="B157" s="5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5" t="n"/>
      <c r="O157" s="4" t="n"/>
    </row>
    <row r="158">
      <c r="A158" s="2">
        <f>IF(COUNTA(B158:O158)=0,"","D-"&amp;TEXT(ROW()-1,"000"))</f>
        <v/>
      </c>
      <c r="B158" s="3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3" t="n"/>
      <c r="O158" s="2" t="n"/>
    </row>
    <row r="159">
      <c r="A159" s="4">
        <f>IF(COUNTA(B159:O159)=0,"","D-"&amp;TEXT(ROW()-1,"000"))</f>
        <v/>
      </c>
      <c r="B159" s="5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5" t="n"/>
      <c r="O159" s="4" t="n"/>
    </row>
    <row r="160">
      <c r="A160" s="2">
        <f>IF(COUNTA(B160:O160)=0,"","D-"&amp;TEXT(ROW()-1,"000"))</f>
        <v/>
      </c>
      <c r="B160" s="3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3" t="n"/>
      <c r="O160" s="2" t="n"/>
    </row>
    <row r="161">
      <c r="A161" s="4">
        <f>IF(COUNTA(B161:O161)=0,"","D-"&amp;TEXT(ROW()-1,"000"))</f>
        <v/>
      </c>
      <c r="B161" s="5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5" t="n"/>
      <c r="O161" s="4" t="n"/>
    </row>
    <row r="162">
      <c r="A162" s="2">
        <f>IF(COUNTA(B162:O162)=0,"","D-"&amp;TEXT(ROW()-1,"000"))</f>
        <v/>
      </c>
      <c r="B162" s="3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3" t="n"/>
      <c r="O162" s="2" t="n"/>
    </row>
    <row r="163">
      <c r="A163" s="4">
        <f>IF(COUNTA(B163:O163)=0,"","D-"&amp;TEXT(ROW()-1,"000"))</f>
        <v/>
      </c>
      <c r="B163" s="5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5" t="n"/>
      <c r="O163" s="4" t="n"/>
    </row>
    <row r="164">
      <c r="A164" s="2">
        <f>IF(COUNTA(B164:O164)=0,"","D-"&amp;TEXT(ROW()-1,"000"))</f>
        <v/>
      </c>
      <c r="B164" s="3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3" t="n"/>
      <c r="O164" s="2" t="n"/>
    </row>
    <row r="165">
      <c r="A165" s="4">
        <f>IF(COUNTA(B165:O165)=0,"","D-"&amp;TEXT(ROW()-1,"000"))</f>
        <v/>
      </c>
      <c r="B165" s="5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5" t="n"/>
      <c r="O165" s="4" t="n"/>
    </row>
    <row r="166">
      <c r="A166" s="2">
        <f>IF(COUNTA(B166:O166)=0,"","D-"&amp;TEXT(ROW()-1,"000"))</f>
        <v/>
      </c>
      <c r="B166" s="3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3" t="n"/>
      <c r="O166" s="2" t="n"/>
    </row>
    <row r="167">
      <c r="A167" s="4">
        <f>IF(COUNTA(B167:O167)=0,"","D-"&amp;TEXT(ROW()-1,"000"))</f>
        <v/>
      </c>
      <c r="B167" s="5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5" t="n"/>
      <c r="O167" s="4" t="n"/>
    </row>
    <row r="168">
      <c r="A168" s="2">
        <f>IF(COUNTA(B168:O168)=0,"","D-"&amp;TEXT(ROW()-1,"000"))</f>
        <v/>
      </c>
      <c r="B168" s="3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3" t="n"/>
      <c r="O168" s="2" t="n"/>
    </row>
    <row r="169">
      <c r="A169" s="4">
        <f>IF(COUNTA(B169:O169)=0,"","D-"&amp;TEXT(ROW()-1,"000"))</f>
        <v/>
      </c>
      <c r="B169" s="5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5" t="n"/>
      <c r="O169" s="4" t="n"/>
    </row>
    <row r="170">
      <c r="A170" s="2">
        <f>IF(COUNTA(B170:O170)=0,"","D-"&amp;TEXT(ROW()-1,"000"))</f>
        <v/>
      </c>
      <c r="B170" s="3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3" t="n"/>
      <c r="O170" s="2" t="n"/>
    </row>
    <row r="171">
      <c r="A171" s="4">
        <f>IF(COUNTA(B171:O171)=0,"","D-"&amp;TEXT(ROW()-1,"000"))</f>
        <v/>
      </c>
      <c r="B171" s="5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5" t="n"/>
      <c r="O171" s="4" t="n"/>
    </row>
    <row r="172">
      <c r="A172" s="2">
        <f>IF(COUNTA(B172:O172)=0,"","D-"&amp;TEXT(ROW()-1,"000"))</f>
        <v/>
      </c>
      <c r="B172" s="3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3" t="n"/>
      <c r="O172" s="2" t="n"/>
    </row>
    <row r="173">
      <c r="A173" s="4">
        <f>IF(COUNTA(B173:O173)=0,"","D-"&amp;TEXT(ROW()-1,"000"))</f>
        <v/>
      </c>
      <c r="B173" s="5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5" t="n"/>
      <c r="O173" s="4" t="n"/>
    </row>
    <row r="174">
      <c r="A174" s="2">
        <f>IF(COUNTA(B174:O174)=0,"","D-"&amp;TEXT(ROW()-1,"000"))</f>
        <v/>
      </c>
      <c r="B174" s="3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3" t="n"/>
      <c r="O174" s="2" t="n"/>
    </row>
    <row r="175">
      <c r="A175" s="4">
        <f>IF(COUNTA(B175:O175)=0,"","D-"&amp;TEXT(ROW()-1,"000"))</f>
        <v/>
      </c>
      <c r="B175" s="5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5" t="n"/>
      <c r="O175" s="4" t="n"/>
    </row>
    <row r="176">
      <c r="A176" s="2">
        <f>IF(COUNTA(B176:O176)=0,"","D-"&amp;TEXT(ROW()-1,"000"))</f>
        <v/>
      </c>
      <c r="B176" s="3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3" t="n"/>
      <c r="O176" s="2" t="n"/>
    </row>
    <row r="177">
      <c r="A177" s="4">
        <f>IF(COUNTA(B177:O177)=0,"","D-"&amp;TEXT(ROW()-1,"000"))</f>
        <v/>
      </c>
      <c r="B177" s="5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5" t="n"/>
      <c r="O177" s="4" t="n"/>
    </row>
    <row r="178">
      <c r="A178" s="2">
        <f>IF(COUNTA(B178:O178)=0,"","D-"&amp;TEXT(ROW()-1,"000"))</f>
        <v/>
      </c>
      <c r="B178" s="3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3" t="n"/>
      <c r="O178" s="2" t="n"/>
    </row>
    <row r="179">
      <c r="A179" s="4">
        <f>IF(COUNTA(B179:O179)=0,"","D-"&amp;TEXT(ROW()-1,"000"))</f>
        <v/>
      </c>
      <c r="B179" s="5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5" t="n"/>
      <c r="O179" s="4" t="n"/>
    </row>
    <row r="180">
      <c r="A180" s="2">
        <f>IF(COUNTA(B180:O180)=0,"","D-"&amp;TEXT(ROW()-1,"000"))</f>
        <v/>
      </c>
      <c r="B180" s="3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3" t="n"/>
      <c r="O180" s="2" t="n"/>
    </row>
    <row r="181">
      <c r="A181" s="4">
        <f>IF(COUNTA(B181:O181)=0,"","D-"&amp;TEXT(ROW()-1,"000"))</f>
        <v/>
      </c>
      <c r="B181" s="5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5" t="n"/>
      <c r="O181" s="4" t="n"/>
    </row>
    <row r="182">
      <c r="A182" s="2">
        <f>IF(COUNTA(B182:O182)=0,"","D-"&amp;TEXT(ROW()-1,"000"))</f>
        <v/>
      </c>
      <c r="B182" s="3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3" t="n"/>
      <c r="O182" s="2" t="n"/>
    </row>
    <row r="183">
      <c r="A183" s="4">
        <f>IF(COUNTA(B183:O183)=0,"","D-"&amp;TEXT(ROW()-1,"000"))</f>
        <v/>
      </c>
      <c r="B183" s="5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5" t="n"/>
      <c r="O183" s="4" t="n"/>
    </row>
    <row r="184">
      <c r="A184" s="2">
        <f>IF(COUNTA(B184:O184)=0,"","D-"&amp;TEXT(ROW()-1,"000"))</f>
        <v/>
      </c>
      <c r="B184" s="3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3" t="n"/>
      <c r="O184" s="2" t="n"/>
    </row>
    <row r="185">
      <c r="A185" s="4">
        <f>IF(COUNTA(B185:O185)=0,"","D-"&amp;TEXT(ROW()-1,"000"))</f>
        <v/>
      </c>
      <c r="B185" s="5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5" t="n"/>
      <c r="O185" s="4" t="n"/>
    </row>
    <row r="186">
      <c r="A186" s="2">
        <f>IF(COUNTA(B186:O186)=0,"","D-"&amp;TEXT(ROW()-1,"000"))</f>
        <v/>
      </c>
      <c r="B186" s="3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3" t="n"/>
      <c r="O186" s="2" t="n"/>
    </row>
    <row r="187">
      <c r="A187" s="4">
        <f>IF(COUNTA(B187:O187)=0,"","D-"&amp;TEXT(ROW()-1,"000"))</f>
        <v/>
      </c>
      <c r="B187" s="5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5" t="n"/>
      <c r="O187" s="4" t="n"/>
    </row>
    <row r="188">
      <c r="A188" s="2">
        <f>IF(COUNTA(B188:O188)=0,"","D-"&amp;TEXT(ROW()-1,"000"))</f>
        <v/>
      </c>
      <c r="B188" s="3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3" t="n"/>
      <c r="O188" s="2" t="n"/>
    </row>
    <row r="189">
      <c r="A189" s="4">
        <f>IF(COUNTA(B189:O189)=0,"","D-"&amp;TEXT(ROW()-1,"000"))</f>
        <v/>
      </c>
      <c r="B189" s="5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5" t="n"/>
      <c r="O189" s="4" t="n"/>
    </row>
    <row r="190">
      <c r="A190" s="2">
        <f>IF(COUNTA(B190:O190)=0,"","D-"&amp;TEXT(ROW()-1,"000"))</f>
        <v/>
      </c>
      <c r="B190" s="3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3" t="n"/>
      <c r="O190" s="2" t="n"/>
    </row>
    <row r="191">
      <c r="A191" s="4">
        <f>IF(COUNTA(B191:O191)=0,"","D-"&amp;TEXT(ROW()-1,"000"))</f>
        <v/>
      </c>
      <c r="B191" s="5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5" t="n"/>
      <c r="O191" s="4" t="n"/>
    </row>
    <row r="192">
      <c r="A192" s="2">
        <f>IF(COUNTA(B192:O192)=0,"","D-"&amp;TEXT(ROW()-1,"000"))</f>
        <v/>
      </c>
      <c r="B192" s="3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3" t="n"/>
      <c r="O192" s="2" t="n"/>
    </row>
    <row r="193">
      <c r="A193" s="4">
        <f>IF(COUNTA(B193:O193)=0,"","D-"&amp;TEXT(ROW()-1,"000"))</f>
        <v/>
      </c>
      <c r="B193" s="5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5" t="n"/>
      <c r="O193" s="4" t="n"/>
    </row>
    <row r="194">
      <c r="A194" s="2">
        <f>IF(COUNTA(B194:O194)=0,"","D-"&amp;TEXT(ROW()-1,"000"))</f>
        <v/>
      </c>
      <c r="B194" s="3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3" t="n"/>
      <c r="O194" s="2" t="n"/>
    </row>
    <row r="195">
      <c r="A195" s="4">
        <f>IF(COUNTA(B195:O195)=0,"","D-"&amp;TEXT(ROW()-1,"000"))</f>
        <v/>
      </c>
      <c r="B195" s="5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5" t="n"/>
      <c r="O195" s="4" t="n"/>
    </row>
    <row r="196">
      <c r="A196" s="2">
        <f>IF(COUNTA(B196:O196)=0,"","D-"&amp;TEXT(ROW()-1,"000"))</f>
        <v/>
      </c>
      <c r="B196" s="3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3" t="n"/>
      <c r="O196" s="2" t="n"/>
    </row>
    <row r="197">
      <c r="A197" s="4">
        <f>IF(COUNTA(B197:O197)=0,"","D-"&amp;TEXT(ROW()-1,"000"))</f>
        <v/>
      </c>
      <c r="B197" s="5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5" t="n"/>
      <c r="O197" s="4" t="n"/>
    </row>
    <row r="198">
      <c r="A198" s="2">
        <f>IF(COUNTA(B198:O198)=0,"","D-"&amp;TEXT(ROW()-1,"000"))</f>
        <v/>
      </c>
      <c r="B198" s="3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3" t="n"/>
      <c r="O198" s="2" t="n"/>
    </row>
    <row r="199">
      <c r="A199" s="4">
        <f>IF(COUNTA(B199:O199)=0,"","D-"&amp;TEXT(ROW()-1,"000"))</f>
        <v/>
      </c>
      <c r="B199" s="5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5" t="n"/>
      <c r="O199" s="4" t="n"/>
    </row>
    <row r="200">
      <c r="A200" s="2">
        <f>IF(COUNTA(B200:O200)=0,"","D-"&amp;TEXT(ROW()-1,"000"))</f>
        <v/>
      </c>
      <c r="B200" s="3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3" t="n"/>
      <c r="O200" s="2" t="n"/>
    </row>
    <row r="201">
      <c r="A201" s="4">
        <f>IF(COUNTA(B201:O201)=0,"","D-"&amp;TEXT(ROW()-1,"000"))</f>
        <v/>
      </c>
      <c r="B201" s="5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5" t="n"/>
      <c r="O201" s="4" t="n"/>
    </row>
    <row r="202">
      <c r="A202" s="2">
        <f>IF(COUNTA(B202:O202)=0,"","D-"&amp;TEXT(ROW()-1,"000"))</f>
        <v/>
      </c>
      <c r="B202" s="3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3" t="n"/>
      <c r="O202" s="2" t="n"/>
    </row>
    <row r="203">
      <c r="A203" s="4">
        <f>IF(COUNTA(B203:O203)=0,"","D-"&amp;TEXT(ROW()-1,"000"))</f>
        <v/>
      </c>
      <c r="B203" s="5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5" t="n"/>
      <c r="O203" s="4" t="n"/>
    </row>
    <row r="204">
      <c r="A204" s="2">
        <f>IF(COUNTA(B204:O204)=0,"","D-"&amp;TEXT(ROW()-1,"000"))</f>
        <v/>
      </c>
      <c r="B204" s="3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3" t="n"/>
      <c r="O204" s="2" t="n"/>
    </row>
    <row r="205">
      <c r="A205" s="4">
        <f>IF(COUNTA(B205:O205)=0,"","D-"&amp;TEXT(ROW()-1,"000"))</f>
        <v/>
      </c>
      <c r="B205" s="5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5" t="n"/>
      <c r="O205" s="4" t="n"/>
    </row>
    <row r="206">
      <c r="A206" s="2">
        <f>IF(COUNTA(B206:O206)=0,"","D-"&amp;TEXT(ROW()-1,"000"))</f>
        <v/>
      </c>
      <c r="B206" s="3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3" t="n"/>
      <c r="O206" s="2" t="n"/>
    </row>
    <row r="207">
      <c r="A207" s="4">
        <f>IF(COUNTA(B207:O207)=0,"","D-"&amp;TEXT(ROW()-1,"000"))</f>
        <v/>
      </c>
      <c r="B207" s="5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5" t="n"/>
      <c r="O207" s="4" t="n"/>
    </row>
    <row r="208">
      <c r="A208" s="2">
        <f>IF(COUNTA(B208:O208)=0,"","D-"&amp;TEXT(ROW()-1,"000"))</f>
        <v/>
      </c>
      <c r="B208" s="3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3" t="n"/>
      <c r="O208" s="2" t="n"/>
    </row>
    <row r="209">
      <c r="A209" s="4">
        <f>IF(COUNTA(B209:O209)=0,"","D-"&amp;TEXT(ROW()-1,"000"))</f>
        <v/>
      </c>
      <c r="B209" s="5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5" t="n"/>
      <c r="O209" s="4" t="n"/>
    </row>
    <row r="210">
      <c r="A210" s="2">
        <f>IF(COUNTA(B210:O210)=0,"","D-"&amp;TEXT(ROW()-1,"000"))</f>
        <v/>
      </c>
      <c r="B210" s="3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3" t="n"/>
      <c r="O210" s="2" t="n"/>
    </row>
    <row r="211">
      <c r="A211" s="4">
        <f>IF(COUNTA(B211:O211)=0,"","D-"&amp;TEXT(ROW()-1,"000"))</f>
        <v/>
      </c>
      <c r="B211" s="5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5" t="n"/>
      <c r="O211" s="4" t="n"/>
    </row>
    <row r="212">
      <c r="A212" s="2">
        <f>IF(COUNTA(B212:O212)=0,"","D-"&amp;TEXT(ROW()-1,"000"))</f>
        <v/>
      </c>
      <c r="B212" s="3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3" t="n"/>
      <c r="O212" s="2" t="n"/>
    </row>
    <row r="213">
      <c r="A213" s="4">
        <f>IF(COUNTA(B213:O213)=0,"","D-"&amp;TEXT(ROW()-1,"000"))</f>
        <v/>
      </c>
      <c r="B213" s="5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5" t="n"/>
      <c r="O213" s="4" t="n"/>
    </row>
    <row r="214">
      <c r="A214" s="2">
        <f>IF(COUNTA(B214:O214)=0,"","D-"&amp;TEXT(ROW()-1,"000"))</f>
        <v/>
      </c>
      <c r="B214" s="3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3" t="n"/>
      <c r="O214" s="2" t="n"/>
    </row>
    <row r="215">
      <c r="A215" s="4">
        <f>IF(COUNTA(B215:O215)=0,"","D-"&amp;TEXT(ROW()-1,"000"))</f>
        <v/>
      </c>
      <c r="B215" s="5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5" t="n"/>
      <c r="O215" s="4" t="n"/>
    </row>
    <row r="216">
      <c r="A216" s="2">
        <f>IF(COUNTA(B216:O216)=0,"","D-"&amp;TEXT(ROW()-1,"000"))</f>
        <v/>
      </c>
      <c r="B216" s="3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3" t="n"/>
      <c r="O216" s="2" t="n"/>
    </row>
    <row r="217">
      <c r="A217" s="4">
        <f>IF(COUNTA(B217:O217)=0,"","D-"&amp;TEXT(ROW()-1,"000"))</f>
        <v/>
      </c>
      <c r="B217" s="5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5" t="n"/>
      <c r="O217" s="4" t="n"/>
    </row>
    <row r="218">
      <c r="A218" s="2">
        <f>IF(COUNTA(B218:O218)=0,"","D-"&amp;TEXT(ROW()-1,"000"))</f>
        <v/>
      </c>
      <c r="B218" s="3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3" t="n"/>
      <c r="O218" s="2" t="n"/>
    </row>
    <row r="219">
      <c r="A219" s="4">
        <f>IF(COUNTA(B219:O219)=0,"","D-"&amp;TEXT(ROW()-1,"000"))</f>
        <v/>
      </c>
      <c r="B219" s="5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5" t="n"/>
      <c r="O219" s="4" t="n"/>
    </row>
    <row r="220">
      <c r="A220" s="2">
        <f>IF(COUNTA(B220:O220)=0,"","D-"&amp;TEXT(ROW()-1,"000"))</f>
        <v/>
      </c>
      <c r="B220" s="3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3" t="n"/>
      <c r="O220" s="2" t="n"/>
    </row>
    <row r="221">
      <c r="A221" s="4">
        <f>IF(COUNTA(B221:O221)=0,"","D-"&amp;TEXT(ROW()-1,"000"))</f>
        <v/>
      </c>
      <c r="B221" s="5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5" t="n"/>
      <c r="O221" s="4" t="n"/>
    </row>
    <row r="222">
      <c r="A222" s="2">
        <f>IF(COUNTA(B222:O222)=0,"","D-"&amp;TEXT(ROW()-1,"000"))</f>
        <v/>
      </c>
      <c r="B222" s="3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3" t="n"/>
      <c r="O222" s="2" t="n"/>
    </row>
    <row r="223">
      <c r="A223" s="4">
        <f>IF(COUNTA(B223:O223)=0,"","D-"&amp;TEXT(ROW()-1,"000"))</f>
        <v/>
      </c>
      <c r="B223" s="5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5" t="n"/>
      <c r="O223" s="4" t="n"/>
    </row>
    <row r="224">
      <c r="A224" s="2">
        <f>IF(COUNTA(B224:O224)=0,"","D-"&amp;TEXT(ROW()-1,"000"))</f>
        <v/>
      </c>
      <c r="B224" s="3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3" t="n"/>
      <c r="O224" s="2" t="n"/>
    </row>
    <row r="225">
      <c r="A225" s="4">
        <f>IF(COUNTA(B225:O225)=0,"","D-"&amp;TEXT(ROW()-1,"000"))</f>
        <v/>
      </c>
      <c r="B225" s="5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5" t="n"/>
      <c r="O225" s="4" t="n"/>
    </row>
    <row r="226">
      <c r="A226" s="2">
        <f>IF(COUNTA(B226:O226)=0,"","D-"&amp;TEXT(ROW()-1,"000"))</f>
        <v/>
      </c>
      <c r="B226" s="3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3" t="n"/>
      <c r="O226" s="2" t="n"/>
    </row>
    <row r="227">
      <c r="A227" s="4">
        <f>IF(COUNTA(B227:O227)=0,"","D-"&amp;TEXT(ROW()-1,"000"))</f>
        <v/>
      </c>
      <c r="B227" s="5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5" t="n"/>
      <c r="O227" s="4" t="n"/>
    </row>
    <row r="228">
      <c r="A228" s="2">
        <f>IF(COUNTA(B228:O228)=0,"","D-"&amp;TEXT(ROW()-1,"000"))</f>
        <v/>
      </c>
      <c r="B228" s="3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3" t="n"/>
      <c r="O228" s="2" t="n"/>
    </row>
    <row r="229">
      <c r="A229" s="4">
        <f>IF(COUNTA(B229:O229)=0,"","D-"&amp;TEXT(ROW()-1,"000"))</f>
        <v/>
      </c>
      <c r="B229" s="5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5" t="n"/>
      <c r="O229" s="4" t="n"/>
    </row>
    <row r="230">
      <c r="A230" s="2">
        <f>IF(COUNTA(B230:O230)=0,"","D-"&amp;TEXT(ROW()-1,"000"))</f>
        <v/>
      </c>
      <c r="B230" s="3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3" t="n"/>
      <c r="O230" s="2" t="n"/>
    </row>
    <row r="231">
      <c r="A231" s="4">
        <f>IF(COUNTA(B231:O231)=0,"","D-"&amp;TEXT(ROW()-1,"000"))</f>
        <v/>
      </c>
      <c r="B231" s="5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5" t="n"/>
      <c r="O231" s="4" t="n"/>
    </row>
    <row r="232">
      <c r="A232" s="2">
        <f>IF(COUNTA(B232:O232)=0,"","D-"&amp;TEXT(ROW()-1,"000"))</f>
        <v/>
      </c>
      <c r="B232" s="3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3" t="n"/>
      <c r="O232" s="2" t="n"/>
    </row>
    <row r="233">
      <c r="A233" s="4">
        <f>IF(COUNTA(B233:O233)=0,"","D-"&amp;TEXT(ROW()-1,"000"))</f>
        <v/>
      </c>
      <c r="B233" s="5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5" t="n"/>
      <c r="O233" s="4" t="n"/>
    </row>
    <row r="234">
      <c r="A234" s="2">
        <f>IF(COUNTA(B234:O234)=0,"","D-"&amp;TEXT(ROW()-1,"000"))</f>
        <v/>
      </c>
      <c r="B234" s="3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3" t="n"/>
      <c r="O234" s="2" t="n"/>
    </row>
    <row r="235">
      <c r="A235" s="4">
        <f>IF(COUNTA(B235:O235)=0,"","D-"&amp;TEXT(ROW()-1,"000"))</f>
        <v/>
      </c>
      <c r="B235" s="5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5" t="n"/>
      <c r="O235" s="4" t="n"/>
    </row>
    <row r="236">
      <c r="A236" s="2">
        <f>IF(COUNTA(B236:O236)=0,"","D-"&amp;TEXT(ROW()-1,"000"))</f>
        <v/>
      </c>
      <c r="B236" s="3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3" t="n"/>
      <c r="O236" s="2" t="n"/>
    </row>
    <row r="237">
      <c r="A237" s="4">
        <f>IF(COUNTA(B237:O237)=0,"","D-"&amp;TEXT(ROW()-1,"000"))</f>
        <v/>
      </c>
      <c r="B237" s="5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5" t="n"/>
      <c r="O237" s="4" t="n"/>
    </row>
    <row r="238">
      <c r="A238" s="2">
        <f>IF(COUNTA(B238:O238)=0,"","D-"&amp;TEXT(ROW()-1,"000"))</f>
        <v/>
      </c>
      <c r="B238" s="3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3" t="n"/>
      <c r="O238" s="2" t="n"/>
    </row>
    <row r="239">
      <c r="A239" s="4">
        <f>IF(COUNTA(B239:O239)=0,"","D-"&amp;TEXT(ROW()-1,"000"))</f>
        <v/>
      </c>
      <c r="B239" s="5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5" t="n"/>
      <c r="O239" s="4" t="n"/>
    </row>
    <row r="240">
      <c r="A240" s="2">
        <f>IF(COUNTA(B240:O240)=0,"","D-"&amp;TEXT(ROW()-1,"000"))</f>
        <v/>
      </c>
      <c r="B240" s="3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3" t="n"/>
      <c r="O240" s="2" t="n"/>
    </row>
    <row r="241">
      <c r="A241" s="4">
        <f>IF(COUNTA(B241:O241)=0,"","D-"&amp;TEXT(ROW()-1,"000"))</f>
        <v/>
      </c>
      <c r="B241" s="5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5" t="n"/>
      <c r="O241" s="4" t="n"/>
    </row>
    <row r="242">
      <c r="A242" s="2">
        <f>IF(COUNTA(B242:O242)=0,"","D-"&amp;TEXT(ROW()-1,"000"))</f>
        <v/>
      </c>
      <c r="B242" s="3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3" t="n"/>
      <c r="O242" s="2" t="n"/>
    </row>
    <row r="243">
      <c r="A243" s="4">
        <f>IF(COUNTA(B243:O243)=0,"","D-"&amp;TEXT(ROW()-1,"000"))</f>
        <v/>
      </c>
      <c r="B243" s="5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5" t="n"/>
      <c r="O243" s="4" t="n"/>
    </row>
    <row r="244">
      <c r="A244" s="2">
        <f>IF(COUNTA(B244:O244)=0,"","D-"&amp;TEXT(ROW()-1,"000"))</f>
        <v/>
      </c>
      <c r="B244" s="3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3" t="n"/>
      <c r="O244" s="2" t="n"/>
    </row>
    <row r="245">
      <c r="A245" s="4">
        <f>IF(COUNTA(B245:O245)=0,"","D-"&amp;TEXT(ROW()-1,"000"))</f>
        <v/>
      </c>
      <c r="B245" s="5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5" t="n"/>
      <c r="O245" s="4" t="n"/>
    </row>
    <row r="246">
      <c r="A246" s="2">
        <f>IF(COUNTA(B246:O246)=0,"","D-"&amp;TEXT(ROW()-1,"000"))</f>
        <v/>
      </c>
      <c r="B246" s="3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3" t="n"/>
      <c r="O246" s="2" t="n"/>
    </row>
    <row r="247">
      <c r="A247" s="4">
        <f>IF(COUNTA(B247:O247)=0,"","D-"&amp;TEXT(ROW()-1,"000"))</f>
        <v/>
      </c>
      <c r="B247" s="5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5" t="n"/>
      <c r="O247" s="4" t="n"/>
    </row>
    <row r="248">
      <c r="A248" s="2">
        <f>IF(COUNTA(B248:O248)=0,"","D-"&amp;TEXT(ROW()-1,"000"))</f>
        <v/>
      </c>
      <c r="B248" s="3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3" t="n"/>
      <c r="O248" s="2" t="n"/>
    </row>
    <row r="249">
      <c r="A249" s="4">
        <f>IF(COUNTA(B249:O249)=0,"","D-"&amp;TEXT(ROW()-1,"000"))</f>
        <v/>
      </c>
      <c r="B249" s="5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5" t="n"/>
      <c r="O249" s="4" t="n"/>
    </row>
    <row r="250">
      <c r="A250" s="2">
        <f>IF(COUNTA(B250:O250)=0,"","D-"&amp;TEXT(ROW()-1,"000"))</f>
        <v/>
      </c>
      <c r="B250" s="3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3" t="n"/>
      <c r="O250" s="2" t="n"/>
    </row>
    <row r="251">
      <c r="A251" s="4">
        <f>IF(COUNTA(B251:O251)=0,"","D-"&amp;TEXT(ROW()-1,"000"))</f>
        <v/>
      </c>
      <c r="B251" s="5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5" t="n"/>
      <c r="O251" s="4" t="n"/>
    </row>
    <row r="252">
      <c r="A252" s="2">
        <f>IF(COUNTA(B252:O252)=0,"","D-"&amp;TEXT(ROW()-1,"000"))</f>
        <v/>
      </c>
      <c r="B252" s="3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3" t="n"/>
      <c r="O252" s="2" t="n"/>
    </row>
    <row r="253">
      <c r="A253" s="4">
        <f>IF(COUNTA(B253:O253)=0,"","D-"&amp;TEXT(ROW()-1,"000"))</f>
        <v/>
      </c>
      <c r="B253" s="5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5" t="n"/>
      <c r="O253" s="4" t="n"/>
    </row>
    <row r="254">
      <c r="A254" s="2">
        <f>IF(COUNTA(B254:O254)=0,"","D-"&amp;TEXT(ROW()-1,"000"))</f>
        <v/>
      </c>
      <c r="B254" s="3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3" t="n"/>
      <c r="O254" s="2" t="n"/>
    </row>
    <row r="255">
      <c r="A255" s="4">
        <f>IF(COUNTA(B255:O255)=0,"","D-"&amp;TEXT(ROW()-1,"000"))</f>
        <v/>
      </c>
      <c r="B255" s="5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5" t="n"/>
      <c r="O255" s="4" t="n"/>
    </row>
    <row r="256">
      <c r="A256" s="2">
        <f>IF(COUNTA(B256:O256)=0,"","D-"&amp;TEXT(ROW()-1,"000"))</f>
        <v/>
      </c>
      <c r="B256" s="3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3" t="n"/>
      <c r="O256" s="2" t="n"/>
    </row>
    <row r="257">
      <c r="A257" s="4">
        <f>IF(COUNTA(B257:O257)=0,"","D-"&amp;TEXT(ROW()-1,"000"))</f>
        <v/>
      </c>
      <c r="B257" s="5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5" t="n"/>
      <c r="O257" s="4" t="n"/>
    </row>
    <row r="258">
      <c r="A258" s="2">
        <f>IF(COUNTA(B258:O258)=0,"","D-"&amp;TEXT(ROW()-1,"000"))</f>
        <v/>
      </c>
      <c r="B258" s="3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3" t="n"/>
      <c r="O258" s="2" t="n"/>
    </row>
    <row r="259">
      <c r="A259" s="4">
        <f>IF(COUNTA(B259:O259)=0,"","D-"&amp;TEXT(ROW()-1,"000"))</f>
        <v/>
      </c>
      <c r="B259" s="5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5" t="n"/>
      <c r="O259" s="4" t="n"/>
    </row>
    <row r="260">
      <c r="A260" s="2">
        <f>IF(COUNTA(B260:O260)=0,"","D-"&amp;TEXT(ROW()-1,"000"))</f>
        <v/>
      </c>
      <c r="B260" s="3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3" t="n"/>
      <c r="O260" s="2" t="n"/>
    </row>
    <row r="261">
      <c r="A261" s="4">
        <f>IF(COUNTA(B261:O261)=0,"","D-"&amp;TEXT(ROW()-1,"000"))</f>
        <v/>
      </c>
      <c r="B261" s="5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5" t="n"/>
      <c r="O261" s="4" t="n"/>
    </row>
    <row r="262">
      <c r="A262" s="2">
        <f>IF(COUNTA(B262:O262)=0,"","D-"&amp;TEXT(ROW()-1,"000"))</f>
        <v/>
      </c>
      <c r="B262" s="3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3" t="n"/>
      <c r="O262" s="2" t="n"/>
    </row>
    <row r="263">
      <c r="A263" s="4">
        <f>IF(COUNTA(B263:O263)=0,"","D-"&amp;TEXT(ROW()-1,"000"))</f>
        <v/>
      </c>
      <c r="B263" s="5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5" t="n"/>
      <c r="O263" s="4" t="n"/>
    </row>
    <row r="264">
      <c r="A264" s="2">
        <f>IF(COUNTA(B264:O264)=0,"","D-"&amp;TEXT(ROW()-1,"000"))</f>
        <v/>
      </c>
      <c r="B264" s="3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3" t="n"/>
      <c r="O264" s="2" t="n"/>
    </row>
    <row r="265">
      <c r="A265" s="4">
        <f>IF(COUNTA(B265:O265)=0,"","D-"&amp;TEXT(ROW()-1,"000"))</f>
        <v/>
      </c>
      <c r="B265" s="5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5" t="n"/>
      <c r="O265" s="4" t="n"/>
    </row>
    <row r="266">
      <c r="A266" s="2">
        <f>IF(COUNTA(B266:O266)=0,"","D-"&amp;TEXT(ROW()-1,"000"))</f>
        <v/>
      </c>
      <c r="B266" s="3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3" t="n"/>
      <c r="O266" s="2" t="n"/>
    </row>
    <row r="267">
      <c r="A267" s="4">
        <f>IF(COUNTA(B267:O267)=0,"","D-"&amp;TEXT(ROW()-1,"000"))</f>
        <v/>
      </c>
      <c r="B267" s="5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5" t="n"/>
      <c r="O267" s="4" t="n"/>
    </row>
    <row r="268">
      <c r="A268" s="2">
        <f>IF(COUNTA(B268:O268)=0,"","D-"&amp;TEXT(ROW()-1,"000"))</f>
        <v/>
      </c>
      <c r="B268" s="3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3" t="n"/>
      <c r="O268" s="2" t="n"/>
    </row>
    <row r="269">
      <c r="A269" s="4">
        <f>IF(COUNTA(B269:O269)=0,"","D-"&amp;TEXT(ROW()-1,"000"))</f>
        <v/>
      </c>
      <c r="B269" s="5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5" t="n"/>
      <c r="O269" s="4" t="n"/>
    </row>
    <row r="270">
      <c r="A270" s="2">
        <f>IF(COUNTA(B270:O270)=0,"","D-"&amp;TEXT(ROW()-1,"000"))</f>
        <v/>
      </c>
      <c r="B270" s="3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3" t="n"/>
      <c r="O270" s="2" t="n"/>
    </row>
    <row r="271">
      <c r="A271" s="4">
        <f>IF(COUNTA(B271:O271)=0,"","D-"&amp;TEXT(ROW()-1,"000"))</f>
        <v/>
      </c>
      <c r="B271" s="5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5" t="n"/>
      <c r="O271" s="4" t="n"/>
    </row>
    <row r="272">
      <c r="A272" s="2">
        <f>IF(COUNTA(B272:O272)=0,"","D-"&amp;TEXT(ROW()-1,"000"))</f>
        <v/>
      </c>
      <c r="B272" s="3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3" t="n"/>
      <c r="O272" s="2" t="n"/>
    </row>
    <row r="273">
      <c r="A273" s="4">
        <f>IF(COUNTA(B273:O273)=0,"","D-"&amp;TEXT(ROW()-1,"000"))</f>
        <v/>
      </c>
      <c r="B273" s="5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5" t="n"/>
      <c r="O273" s="4" t="n"/>
    </row>
    <row r="274">
      <c r="A274" s="2">
        <f>IF(COUNTA(B274:O274)=0,"","D-"&amp;TEXT(ROW()-1,"000"))</f>
        <v/>
      </c>
      <c r="B274" s="3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3" t="n"/>
      <c r="O274" s="2" t="n"/>
    </row>
    <row r="275">
      <c r="A275" s="4">
        <f>IF(COUNTA(B275:O275)=0,"","D-"&amp;TEXT(ROW()-1,"000"))</f>
        <v/>
      </c>
      <c r="B275" s="5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5" t="n"/>
      <c r="O275" s="4" t="n"/>
    </row>
    <row r="276">
      <c r="A276" s="2">
        <f>IF(COUNTA(B276:O276)=0,"","D-"&amp;TEXT(ROW()-1,"000"))</f>
        <v/>
      </c>
      <c r="B276" s="3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3" t="n"/>
      <c r="O276" s="2" t="n"/>
    </row>
    <row r="277">
      <c r="A277" s="4">
        <f>IF(COUNTA(B277:O277)=0,"","D-"&amp;TEXT(ROW()-1,"000"))</f>
        <v/>
      </c>
      <c r="B277" s="5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5" t="n"/>
      <c r="O277" s="4" t="n"/>
    </row>
    <row r="278">
      <c r="A278" s="2">
        <f>IF(COUNTA(B278:O278)=0,"","D-"&amp;TEXT(ROW()-1,"000"))</f>
        <v/>
      </c>
      <c r="B278" s="3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3" t="n"/>
      <c r="O278" s="2" t="n"/>
    </row>
    <row r="279">
      <c r="A279" s="4">
        <f>IF(COUNTA(B279:O279)=0,"","D-"&amp;TEXT(ROW()-1,"000"))</f>
        <v/>
      </c>
      <c r="B279" s="5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5" t="n"/>
      <c r="O279" s="4" t="n"/>
    </row>
    <row r="280">
      <c r="A280" s="2">
        <f>IF(COUNTA(B280:O280)=0,"","D-"&amp;TEXT(ROW()-1,"000"))</f>
        <v/>
      </c>
      <c r="B280" s="3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3" t="n"/>
      <c r="O280" s="2" t="n"/>
    </row>
    <row r="281">
      <c r="A281" s="4">
        <f>IF(COUNTA(B281:O281)=0,"","D-"&amp;TEXT(ROW()-1,"000"))</f>
        <v/>
      </c>
      <c r="B281" s="5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5" t="n"/>
      <c r="O281" s="4" t="n"/>
    </row>
    <row r="282">
      <c r="A282" s="2">
        <f>IF(COUNTA(B282:O282)=0,"","D-"&amp;TEXT(ROW()-1,"000"))</f>
        <v/>
      </c>
      <c r="B282" s="3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3" t="n"/>
      <c r="O282" s="2" t="n"/>
    </row>
    <row r="283">
      <c r="A283" s="4">
        <f>IF(COUNTA(B283:O283)=0,"","D-"&amp;TEXT(ROW()-1,"000"))</f>
        <v/>
      </c>
      <c r="B283" s="5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5" t="n"/>
      <c r="O283" s="4" t="n"/>
    </row>
    <row r="284">
      <c r="A284" s="2">
        <f>IF(COUNTA(B284:O284)=0,"","D-"&amp;TEXT(ROW()-1,"000"))</f>
        <v/>
      </c>
      <c r="B284" s="3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3" t="n"/>
      <c r="O284" s="2" t="n"/>
    </row>
    <row r="285">
      <c r="A285" s="4">
        <f>IF(COUNTA(B285:O285)=0,"","D-"&amp;TEXT(ROW()-1,"000"))</f>
        <v/>
      </c>
      <c r="B285" s="5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5" t="n"/>
      <c r="O285" s="4" t="n"/>
    </row>
    <row r="286">
      <c r="A286" s="2">
        <f>IF(COUNTA(B286:O286)=0,"","D-"&amp;TEXT(ROW()-1,"000"))</f>
        <v/>
      </c>
      <c r="B286" s="3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3" t="n"/>
      <c r="O286" s="2" t="n"/>
    </row>
    <row r="287">
      <c r="A287" s="4">
        <f>IF(COUNTA(B287:O287)=0,"","D-"&amp;TEXT(ROW()-1,"000"))</f>
        <v/>
      </c>
      <c r="B287" s="5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5" t="n"/>
      <c r="O287" s="4" t="n"/>
    </row>
    <row r="288">
      <c r="A288" s="2">
        <f>IF(COUNTA(B288:O288)=0,"","D-"&amp;TEXT(ROW()-1,"000"))</f>
        <v/>
      </c>
      <c r="B288" s="3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3" t="n"/>
      <c r="O288" s="2" t="n"/>
    </row>
    <row r="289">
      <c r="A289" s="4">
        <f>IF(COUNTA(B289:O289)=0,"","D-"&amp;TEXT(ROW()-1,"000"))</f>
        <v/>
      </c>
      <c r="B289" s="5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5" t="n"/>
      <c r="O289" s="4" t="n"/>
    </row>
    <row r="290">
      <c r="A290" s="2">
        <f>IF(COUNTA(B290:O290)=0,"","D-"&amp;TEXT(ROW()-1,"000"))</f>
        <v/>
      </c>
      <c r="B290" s="3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3" t="n"/>
      <c r="O290" s="2" t="n"/>
    </row>
    <row r="291">
      <c r="A291" s="4">
        <f>IF(COUNTA(B291:O291)=0,"","D-"&amp;TEXT(ROW()-1,"000"))</f>
        <v/>
      </c>
      <c r="B291" s="5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5" t="n"/>
      <c r="O291" s="4" t="n"/>
    </row>
    <row r="292">
      <c r="A292" s="2">
        <f>IF(COUNTA(B292:O292)=0,"","D-"&amp;TEXT(ROW()-1,"000"))</f>
        <v/>
      </c>
      <c r="B292" s="3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3" t="n"/>
      <c r="O292" s="2" t="n"/>
    </row>
    <row r="293">
      <c r="A293" s="4">
        <f>IF(COUNTA(B293:O293)=0,"","D-"&amp;TEXT(ROW()-1,"000"))</f>
        <v/>
      </c>
      <c r="B293" s="5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5" t="n"/>
      <c r="O293" s="4" t="n"/>
    </row>
    <row r="294">
      <c r="A294" s="2">
        <f>IF(COUNTA(B294:O294)=0,"","D-"&amp;TEXT(ROW()-1,"000"))</f>
        <v/>
      </c>
      <c r="B294" s="3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3" t="n"/>
      <c r="O294" s="2" t="n"/>
    </row>
    <row r="295">
      <c r="A295" s="4">
        <f>IF(COUNTA(B295:O295)=0,"","D-"&amp;TEXT(ROW()-1,"000"))</f>
        <v/>
      </c>
      <c r="B295" s="5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5" t="n"/>
      <c r="O295" s="4" t="n"/>
    </row>
    <row r="296">
      <c r="A296" s="2">
        <f>IF(COUNTA(B296:O296)=0,"","D-"&amp;TEXT(ROW()-1,"000"))</f>
        <v/>
      </c>
      <c r="B296" s="3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3" t="n"/>
      <c r="O296" s="2" t="n"/>
    </row>
    <row r="297">
      <c r="A297" s="4">
        <f>IF(COUNTA(B297:O297)=0,"","D-"&amp;TEXT(ROW()-1,"000"))</f>
        <v/>
      </c>
      <c r="B297" s="5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5" t="n"/>
      <c r="O297" s="4" t="n"/>
    </row>
    <row r="298">
      <c r="A298" s="2">
        <f>IF(COUNTA(B298:O298)=0,"","D-"&amp;TEXT(ROW()-1,"000"))</f>
        <v/>
      </c>
      <c r="B298" s="3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3" t="n"/>
      <c r="O298" s="2" t="n"/>
    </row>
    <row r="299">
      <c r="A299" s="4">
        <f>IF(COUNTA(B299:O299)=0,"","D-"&amp;TEXT(ROW()-1,"000"))</f>
        <v/>
      </c>
      <c r="B299" s="5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5" t="n"/>
      <c r="O299" s="4" t="n"/>
    </row>
    <row r="300">
      <c r="A300" s="2">
        <f>IF(COUNTA(B300:O300)=0,"","D-"&amp;TEXT(ROW()-1,"000"))</f>
        <v/>
      </c>
      <c r="B300" s="3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3" t="n"/>
      <c r="O300" s="2" t="n"/>
    </row>
  </sheetData>
  <autoFilter ref="A1:O300"/>
  <conditionalFormatting sqref="K2:K300">
    <cfRule type="cellIs" priority="1" operator="equal" dxfId="0">
      <formula>"Critical"</formula>
    </cfRule>
    <cfRule type="cellIs" priority="2" operator="equal" dxfId="1">
      <formula>"Major"</formula>
    </cfRule>
    <cfRule type="cellIs" priority="3" operator="equal" dxfId="2">
      <formula>"Minor"</formula>
    </cfRule>
    <cfRule type="cellIs" priority="4" operator="equal" dxfId="3">
      <formula>"Cosmetic"</formula>
    </cfRule>
  </conditionalFormatting>
  <conditionalFormatting sqref="L2:L300">
    <cfRule type="cellIs" priority="5" operator="equal" dxfId="1">
      <formula>"Open"</formula>
    </cfRule>
    <cfRule type="cellIs" priority="6" operator="equal" dxfId="4">
      <formula>"In progress"</formula>
    </cfRule>
    <cfRule type="cellIs" priority="7" operator="equal" dxfId="2">
      <formula>"Fixed — to retest"</formula>
    </cfRule>
    <cfRule type="cellIs" priority="8" operator="equal" dxfId="0">
      <formula>"Retest failed"</formula>
    </cfRule>
    <cfRule type="cellIs" priority="9" operator="equal" dxfId="3">
      <formula>"Closed"</formula>
    </cfRule>
  </conditionalFormatting>
  <dataValidations count="5">
    <dataValidation sqref="D2:D300" showDropDown="0" showInputMessage="1" showErrorMessage="1" allowBlank="1" errorTitle="Not on the list" error="That is not on the list. Add it on the Lists sheet if it should be." promptTitle="Pick from the list" prompt="Which part of the app the defect is in" type="list" errorStyle="warning">
      <formula1>Modules</formula1>
    </dataValidation>
    <dataValidation sqref="E2:E300" showDropDown="0" showInputMessage="1" showErrorMessage="1" allowBlank="1" errorTitle="Not on the list" error="That is not on the list. Add it on the Lists sheet if it should be." promptTitle="Pick from the list" prompt="Which role was signed in when you saw it" type="list" errorStyle="warning">
      <formula1>RolesList</formula1>
    </dataValidation>
    <dataValidation sqref="F2:F300" showDropDown="0" showInputMessage="1" showErrorMessage="1" allowBlank="1" errorTitle="Not on the list" error="That is not on the list. Add it on the Lists sheet if it should be." promptTitle="Pick from the list" prompt="What you were using" type="list" errorStyle="warning">
      <formula1>Devices</formula1>
    </dataValidation>
    <dataValidation sqref="K2:K300" showDropDown="0" showInputMessage="1" showErrorMessage="1" allowBlank="1" errorTitle="Not on the list" error="That is not on the list. Add it on the Lists sheet if it should be." promptTitle="Pick from the list" prompt="How badly it hurts" type="list" errorStyle="warning">
      <formula1>Severities</formula1>
    </dataValidation>
    <dataValidation sqref="L2:L300" showDropDown="0" showInputMessage="1" showErrorMessage="1" allowBlank="1" errorTitle="Not on the list" error="That is not on the list. Add it on the Lists sheet if it should be." promptTitle="Pick from the list" prompt="Where it has got to" type="list" errorStyle="warning">
      <formula1>Statuses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28" customHeight="1">
      <c r="A1" s="6" t="inlineStr">
        <is>
          <t>Modules</t>
        </is>
      </c>
      <c r="B1" s="6" t="inlineStr">
        <is>
          <t>Severity</t>
        </is>
      </c>
      <c r="C1" s="6" t="inlineStr">
        <is>
          <t>Status</t>
        </is>
      </c>
      <c r="D1" s="6" t="inlineStr">
        <is>
          <t>Role</t>
        </is>
      </c>
      <c r="E1" s="6" t="inlineStr">
        <is>
          <t>Device</t>
        </is>
      </c>
      <c r="G1" s="7" t="inlineStr">
        <is>
          <t>Add a row to any column above and it appears in that dropdown straight away.</t>
        </is>
      </c>
    </row>
    <row r="2">
      <c r="A2" s="8" t="inlineStr">
        <is>
          <t>Sign-in &amp; sessions</t>
        </is>
      </c>
      <c r="B2" s="8" t="inlineStr">
        <is>
          <t>Critical</t>
        </is>
      </c>
      <c r="C2" s="8" t="inlineStr">
        <is>
          <t>Open</t>
        </is>
      </c>
      <c r="D2" s="8" t="inlineStr">
        <is>
          <t>Owner</t>
        </is>
      </c>
      <c r="E2" s="8" t="inlineStr">
        <is>
          <t>Laptop</t>
        </is>
      </c>
    </row>
    <row r="3">
      <c r="A3" s="8" t="inlineStr">
        <is>
          <t>First-run setup</t>
        </is>
      </c>
      <c r="B3" s="8" t="inlineStr">
        <is>
          <t>Major</t>
        </is>
      </c>
      <c r="C3" s="8" t="inlineStr">
        <is>
          <t>In progress</t>
        </is>
      </c>
      <c r="D3" s="8" t="inlineStr">
        <is>
          <t>Manager</t>
        </is>
      </c>
      <c r="E3" s="8" t="inlineStr">
        <is>
          <t>Phone</t>
        </is>
      </c>
    </row>
    <row r="4">
      <c r="A4" s="8" t="inlineStr">
        <is>
          <t>Dashboard</t>
        </is>
      </c>
      <c r="B4" s="8" t="inlineStr">
        <is>
          <t>Minor</t>
        </is>
      </c>
      <c r="C4" s="8" t="inlineStr">
        <is>
          <t>Fixed — to retest</t>
        </is>
      </c>
      <c r="D4" s="8" t="inlineStr">
        <is>
          <t>Service advisor</t>
        </is>
      </c>
      <c r="E4" s="8" t="inlineStr">
        <is>
          <t>Tablet</t>
        </is>
      </c>
    </row>
    <row r="5">
      <c r="A5" s="8" t="inlineStr">
        <is>
          <t>Orders list</t>
        </is>
      </c>
      <c r="B5" s="8" t="inlineStr">
        <is>
          <t>Cosmetic</t>
        </is>
      </c>
      <c r="C5" s="8" t="inlineStr">
        <is>
          <t>Retest failed</t>
        </is>
      </c>
      <c r="D5" s="8" t="inlineStr">
        <is>
          <t>Technician</t>
        </is>
      </c>
      <c r="E5" s="8" t="inlineStr">
        <is>
          <t>Any device</t>
        </is>
      </c>
    </row>
    <row r="6">
      <c r="A6" s="8" t="inlineStr">
        <is>
          <t>Job panel — Overview</t>
        </is>
      </c>
      <c r="C6" s="8" t="inlineStr">
        <is>
          <t>Closed</t>
        </is>
      </c>
      <c r="D6" s="8" t="inlineStr">
        <is>
          <t>Signed out</t>
        </is>
      </c>
    </row>
    <row r="7">
      <c r="A7" s="8" t="inlineStr">
        <is>
          <t>Job panel — Inspection</t>
        </is>
      </c>
      <c r="C7" s="8" t="inlineStr">
        <is>
          <t>Won't fix</t>
        </is>
      </c>
      <c r="D7" s="8" t="inlineStr">
        <is>
          <t>Any role</t>
        </is>
      </c>
    </row>
    <row r="8">
      <c r="A8" s="8" t="inlineStr">
        <is>
          <t>Job panel — Quote &amp; items</t>
        </is>
      </c>
      <c r="C8" s="8" t="inlineStr">
        <is>
          <t>Duplicate</t>
        </is>
      </c>
    </row>
    <row r="9">
      <c r="A9" s="8" t="inlineStr">
        <is>
          <t>Job panel — Notes</t>
        </is>
      </c>
      <c r="C9" s="8" t="inlineStr">
        <is>
          <t>Cannot reproduce</t>
        </is>
      </c>
    </row>
    <row r="10">
      <c r="A10" s="8" t="inlineStr">
        <is>
          <t>Quotation document</t>
        </is>
      </c>
    </row>
    <row r="11">
      <c r="A11" s="8" t="inlineStr">
        <is>
          <t>Payment &amp; money owed</t>
        </is>
      </c>
    </row>
    <row r="12">
      <c r="A12" s="8" t="inlineStr">
        <is>
          <t>Inventory — Parts</t>
        </is>
      </c>
    </row>
    <row r="13">
      <c r="A13" s="8" t="inlineStr">
        <is>
          <t>Inventory — Purchase orders</t>
        </is>
      </c>
    </row>
    <row r="14">
      <c r="A14" s="8" t="inlineStr">
        <is>
          <t>Inventory — Suppliers</t>
        </is>
      </c>
    </row>
    <row r="15">
      <c r="A15" s="8" t="inlineStr">
        <is>
          <t>Inventory — Stock history</t>
        </is>
      </c>
    </row>
    <row r="16">
      <c r="A16" s="8" t="inlineStr">
        <is>
          <t>Customers &amp; follow-ups</t>
        </is>
      </c>
    </row>
    <row r="17">
      <c r="A17" s="8" t="inlineStr">
        <is>
          <t>Reports</t>
        </is>
      </c>
    </row>
    <row r="18">
      <c r="A18" s="8" t="inlineStr">
        <is>
          <t>Insights</t>
        </is>
      </c>
    </row>
    <row r="19">
      <c r="A19" s="8" t="inlineStr">
        <is>
          <t>Settings — General</t>
        </is>
      </c>
    </row>
    <row r="20">
      <c r="A20" s="8" t="inlineStr">
        <is>
          <t>Settings — Users</t>
        </is>
      </c>
    </row>
    <row r="21">
      <c r="A21" s="8" t="inlineStr">
        <is>
          <t>Settings — Roles</t>
        </is>
      </c>
    </row>
    <row r="22">
      <c r="A22" s="8" t="inlineStr">
        <is>
          <t>Settings — Lists</t>
        </is>
      </c>
    </row>
    <row r="23">
      <c r="A23" s="8" t="inlineStr">
        <is>
          <t>Settings — Timing</t>
        </is>
      </c>
    </row>
    <row r="24">
      <c r="A24" s="8" t="inlineStr">
        <is>
          <t>AI panel</t>
        </is>
      </c>
    </row>
    <row r="25">
      <c r="A25" s="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9" t="inlineStr">
        <is>
          <t>Where the defects are</t>
        </is>
      </c>
    </row>
    <row r="2">
      <c r="A2" s="7" t="inlineStr">
        <is>
          <t>Counts update themselves as the log is filled in.</t>
        </is>
      </c>
    </row>
    <row r="4" ht="28" customHeight="1">
      <c r="A4" s="1" t="inlineStr">
        <is>
          <t>Module</t>
        </is>
      </c>
      <c r="B4" s="1" t="inlineStr">
        <is>
          <t>Open</t>
        </is>
      </c>
      <c r="C4" s="1" t="inlineStr">
        <is>
          <t>Critical</t>
        </is>
      </c>
      <c r="D4" s="1" t="inlineStr">
        <is>
          <t>Major</t>
        </is>
      </c>
      <c r="E4" s="1" t="inlineStr">
        <is>
          <t>Total</t>
        </is>
      </c>
    </row>
    <row r="5">
      <c r="A5" s="8">
        <f>Lists!A2</f>
        <v/>
      </c>
      <c r="B5" s="8">
        <f>COUNTIFS(Defects!$D:$D,$A5,Defects!$L:$L,"Open")</f>
        <v/>
      </c>
      <c r="C5" s="8">
        <f>COUNTIFS(Defects!$D:$D,$A5,Defects!$K:$K,"Critical")</f>
        <v/>
      </c>
      <c r="D5" s="8">
        <f>COUNTIFS(Defects!$D:$D,$A5,Defects!$K:$K,"Major")</f>
        <v/>
      </c>
      <c r="E5" s="8">
        <f>COUNTIF(Defects!$D:$D,$A5)</f>
        <v/>
      </c>
    </row>
    <row r="6">
      <c r="A6" s="8">
        <f>Lists!A3</f>
        <v/>
      </c>
      <c r="B6" s="8">
        <f>COUNTIFS(Defects!$D:$D,$A6,Defects!$L:$L,"Open")</f>
        <v/>
      </c>
      <c r="C6" s="8">
        <f>COUNTIFS(Defects!$D:$D,$A6,Defects!$K:$K,"Critical")</f>
        <v/>
      </c>
      <c r="D6" s="8">
        <f>COUNTIFS(Defects!$D:$D,$A6,Defects!$K:$K,"Major")</f>
        <v/>
      </c>
      <c r="E6" s="8">
        <f>COUNTIF(Defects!$D:$D,$A6)</f>
        <v/>
      </c>
    </row>
    <row r="7">
      <c r="A7" s="8">
        <f>Lists!A4</f>
        <v/>
      </c>
      <c r="B7" s="8">
        <f>COUNTIFS(Defects!$D:$D,$A7,Defects!$L:$L,"Open")</f>
        <v/>
      </c>
      <c r="C7" s="8">
        <f>COUNTIFS(Defects!$D:$D,$A7,Defects!$K:$K,"Critical")</f>
        <v/>
      </c>
      <c r="D7" s="8">
        <f>COUNTIFS(Defects!$D:$D,$A7,Defects!$K:$K,"Major")</f>
        <v/>
      </c>
      <c r="E7" s="8">
        <f>COUNTIF(Defects!$D:$D,$A7)</f>
        <v/>
      </c>
    </row>
    <row r="8">
      <c r="A8" s="8">
        <f>Lists!A5</f>
        <v/>
      </c>
      <c r="B8" s="8">
        <f>COUNTIFS(Defects!$D:$D,$A8,Defects!$L:$L,"Open")</f>
        <v/>
      </c>
      <c r="C8" s="8">
        <f>COUNTIFS(Defects!$D:$D,$A8,Defects!$K:$K,"Critical")</f>
        <v/>
      </c>
      <c r="D8" s="8">
        <f>COUNTIFS(Defects!$D:$D,$A8,Defects!$K:$K,"Major")</f>
        <v/>
      </c>
      <c r="E8" s="8">
        <f>COUNTIF(Defects!$D:$D,$A8)</f>
        <v/>
      </c>
    </row>
    <row r="9">
      <c r="A9" s="8">
        <f>Lists!A6</f>
        <v/>
      </c>
      <c r="B9" s="8">
        <f>COUNTIFS(Defects!$D:$D,$A9,Defects!$L:$L,"Open")</f>
        <v/>
      </c>
      <c r="C9" s="8">
        <f>COUNTIFS(Defects!$D:$D,$A9,Defects!$K:$K,"Critical")</f>
        <v/>
      </c>
      <c r="D9" s="8">
        <f>COUNTIFS(Defects!$D:$D,$A9,Defects!$K:$K,"Major")</f>
        <v/>
      </c>
      <c r="E9" s="8">
        <f>COUNTIF(Defects!$D:$D,$A9)</f>
        <v/>
      </c>
    </row>
    <row r="10">
      <c r="A10" s="8">
        <f>Lists!A7</f>
        <v/>
      </c>
      <c r="B10" s="8">
        <f>COUNTIFS(Defects!$D:$D,$A10,Defects!$L:$L,"Open")</f>
        <v/>
      </c>
      <c r="C10" s="8">
        <f>COUNTIFS(Defects!$D:$D,$A10,Defects!$K:$K,"Critical")</f>
        <v/>
      </c>
      <c r="D10" s="8">
        <f>COUNTIFS(Defects!$D:$D,$A10,Defects!$K:$K,"Major")</f>
        <v/>
      </c>
      <c r="E10" s="8">
        <f>COUNTIF(Defects!$D:$D,$A10)</f>
        <v/>
      </c>
    </row>
    <row r="11">
      <c r="A11" s="8">
        <f>Lists!A8</f>
        <v/>
      </c>
      <c r="B11" s="8">
        <f>COUNTIFS(Defects!$D:$D,$A11,Defects!$L:$L,"Open")</f>
        <v/>
      </c>
      <c r="C11" s="8">
        <f>COUNTIFS(Defects!$D:$D,$A11,Defects!$K:$K,"Critical")</f>
        <v/>
      </c>
      <c r="D11" s="8">
        <f>COUNTIFS(Defects!$D:$D,$A11,Defects!$K:$K,"Major")</f>
        <v/>
      </c>
      <c r="E11" s="8">
        <f>COUNTIF(Defects!$D:$D,$A11)</f>
        <v/>
      </c>
    </row>
    <row r="12">
      <c r="A12" s="8">
        <f>Lists!A9</f>
        <v/>
      </c>
      <c r="B12" s="8">
        <f>COUNTIFS(Defects!$D:$D,$A12,Defects!$L:$L,"Open")</f>
        <v/>
      </c>
      <c r="C12" s="8">
        <f>COUNTIFS(Defects!$D:$D,$A12,Defects!$K:$K,"Critical")</f>
        <v/>
      </c>
      <c r="D12" s="8">
        <f>COUNTIFS(Defects!$D:$D,$A12,Defects!$K:$K,"Major")</f>
        <v/>
      </c>
      <c r="E12" s="8">
        <f>COUNTIF(Defects!$D:$D,$A12)</f>
        <v/>
      </c>
    </row>
    <row r="13">
      <c r="A13" s="8">
        <f>Lists!A10</f>
        <v/>
      </c>
      <c r="B13" s="8">
        <f>COUNTIFS(Defects!$D:$D,$A13,Defects!$L:$L,"Open")</f>
        <v/>
      </c>
      <c r="C13" s="8">
        <f>COUNTIFS(Defects!$D:$D,$A13,Defects!$K:$K,"Critical")</f>
        <v/>
      </c>
      <c r="D13" s="8">
        <f>COUNTIFS(Defects!$D:$D,$A13,Defects!$K:$K,"Major")</f>
        <v/>
      </c>
      <c r="E13" s="8">
        <f>COUNTIF(Defects!$D:$D,$A13)</f>
        <v/>
      </c>
    </row>
    <row r="14">
      <c r="A14" s="8">
        <f>Lists!A11</f>
        <v/>
      </c>
      <c r="B14" s="8">
        <f>COUNTIFS(Defects!$D:$D,$A14,Defects!$L:$L,"Open")</f>
        <v/>
      </c>
      <c r="C14" s="8">
        <f>COUNTIFS(Defects!$D:$D,$A14,Defects!$K:$K,"Critical")</f>
        <v/>
      </c>
      <c r="D14" s="8">
        <f>COUNTIFS(Defects!$D:$D,$A14,Defects!$K:$K,"Major")</f>
        <v/>
      </c>
      <c r="E14" s="8">
        <f>COUNTIF(Defects!$D:$D,$A14)</f>
        <v/>
      </c>
    </row>
    <row r="15">
      <c r="A15" s="8">
        <f>Lists!A12</f>
        <v/>
      </c>
      <c r="B15" s="8">
        <f>COUNTIFS(Defects!$D:$D,$A15,Defects!$L:$L,"Open")</f>
        <v/>
      </c>
      <c r="C15" s="8">
        <f>COUNTIFS(Defects!$D:$D,$A15,Defects!$K:$K,"Critical")</f>
        <v/>
      </c>
      <c r="D15" s="8">
        <f>COUNTIFS(Defects!$D:$D,$A15,Defects!$K:$K,"Major")</f>
        <v/>
      </c>
      <c r="E15" s="8">
        <f>COUNTIF(Defects!$D:$D,$A15)</f>
        <v/>
      </c>
    </row>
    <row r="16">
      <c r="A16" s="8">
        <f>Lists!A13</f>
        <v/>
      </c>
      <c r="B16" s="8">
        <f>COUNTIFS(Defects!$D:$D,$A16,Defects!$L:$L,"Open")</f>
        <v/>
      </c>
      <c r="C16" s="8">
        <f>COUNTIFS(Defects!$D:$D,$A16,Defects!$K:$K,"Critical")</f>
        <v/>
      </c>
      <c r="D16" s="8">
        <f>COUNTIFS(Defects!$D:$D,$A16,Defects!$K:$K,"Major")</f>
        <v/>
      </c>
      <c r="E16" s="8">
        <f>COUNTIF(Defects!$D:$D,$A16)</f>
        <v/>
      </c>
    </row>
    <row r="17">
      <c r="A17" s="8">
        <f>Lists!A14</f>
        <v/>
      </c>
      <c r="B17" s="8">
        <f>COUNTIFS(Defects!$D:$D,$A17,Defects!$L:$L,"Open")</f>
        <v/>
      </c>
      <c r="C17" s="8">
        <f>COUNTIFS(Defects!$D:$D,$A17,Defects!$K:$K,"Critical")</f>
        <v/>
      </c>
      <c r="D17" s="8">
        <f>COUNTIFS(Defects!$D:$D,$A17,Defects!$K:$K,"Major")</f>
        <v/>
      </c>
      <c r="E17" s="8">
        <f>COUNTIF(Defects!$D:$D,$A17)</f>
        <v/>
      </c>
    </row>
    <row r="18">
      <c r="A18" s="8">
        <f>Lists!A15</f>
        <v/>
      </c>
      <c r="B18" s="8">
        <f>COUNTIFS(Defects!$D:$D,$A18,Defects!$L:$L,"Open")</f>
        <v/>
      </c>
      <c r="C18" s="8">
        <f>COUNTIFS(Defects!$D:$D,$A18,Defects!$K:$K,"Critical")</f>
        <v/>
      </c>
      <c r="D18" s="8">
        <f>COUNTIFS(Defects!$D:$D,$A18,Defects!$K:$K,"Major")</f>
        <v/>
      </c>
      <c r="E18" s="8">
        <f>COUNTIF(Defects!$D:$D,$A18)</f>
        <v/>
      </c>
    </row>
    <row r="19">
      <c r="A19" s="8">
        <f>Lists!A16</f>
        <v/>
      </c>
      <c r="B19" s="8">
        <f>COUNTIFS(Defects!$D:$D,$A19,Defects!$L:$L,"Open")</f>
        <v/>
      </c>
      <c r="C19" s="8">
        <f>COUNTIFS(Defects!$D:$D,$A19,Defects!$K:$K,"Critical")</f>
        <v/>
      </c>
      <c r="D19" s="8">
        <f>COUNTIFS(Defects!$D:$D,$A19,Defects!$K:$K,"Major")</f>
        <v/>
      </c>
      <c r="E19" s="8">
        <f>COUNTIF(Defects!$D:$D,$A19)</f>
        <v/>
      </c>
    </row>
    <row r="20">
      <c r="A20" s="8">
        <f>Lists!A17</f>
        <v/>
      </c>
      <c r="B20" s="8">
        <f>COUNTIFS(Defects!$D:$D,$A20,Defects!$L:$L,"Open")</f>
        <v/>
      </c>
      <c r="C20" s="8">
        <f>COUNTIFS(Defects!$D:$D,$A20,Defects!$K:$K,"Critical")</f>
        <v/>
      </c>
      <c r="D20" s="8">
        <f>COUNTIFS(Defects!$D:$D,$A20,Defects!$K:$K,"Major")</f>
        <v/>
      </c>
      <c r="E20" s="8">
        <f>COUNTIF(Defects!$D:$D,$A20)</f>
        <v/>
      </c>
    </row>
    <row r="21">
      <c r="A21" s="8">
        <f>Lists!A18</f>
        <v/>
      </c>
      <c r="B21" s="8">
        <f>COUNTIFS(Defects!$D:$D,$A21,Defects!$L:$L,"Open")</f>
        <v/>
      </c>
      <c r="C21" s="8">
        <f>COUNTIFS(Defects!$D:$D,$A21,Defects!$K:$K,"Critical")</f>
        <v/>
      </c>
      <c r="D21" s="8">
        <f>COUNTIFS(Defects!$D:$D,$A21,Defects!$K:$K,"Major")</f>
        <v/>
      </c>
      <c r="E21" s="8">
        <f>COUNTIF(Defects!$D:$D,$A21)</f>
        <v/>
      </c>
    </row>
    <row r="22">
      <c r="A22" s="8">
        <f>Lists!A19</f>
        <v/>
      </c>
      <c r="B22" s="8">
        <f>COUNTIFS(Defects!$D:$D,$A22,Defects!$L:$L,"Open")</f>
        <v/>
      </c>
      <c r="C22" s="8">
        <f>COUNTIFS(Defects!$D:$D,$A22,Defects!$K:$K,"Critical")</f>
        <v/>
      </c>
      <c r="D22" s="8">
        <f>COUNTIFS(Defects!$D:$D,$A22,Defects!$K:$K,"Major")</f>
        <v/>
      </c>
      <c r="E22" s="8">
        <f>COUNTIF(Defects!$D:$D,$A22)</f>
        <v/>
      </c>
    </row>
    <row r="23">
      <c r="A23" s="8">
        <f>Lists!A20</f>
        <v/>
      </c>
      <c r="B23" s="8">
        <f>COUNTIFS(Defects!$D:$D,$A23,Defects!$L:$L,"Open")</f>
        <v/>
      </c>
      <c r="C23" s="8">
        <f>COUNTIFS(Defects!$D:$D,$A23,Defects!$K:$K,"Critical")</f>
        <v/>
      </c>
      <c r="D23" s="8">
        <f>COUNTIFS(Defects!$D:$D,$A23,Defects!$K:$K,"Major")</f>
        <v/>
      </c>
      <c r="E23" s="8">
        <f>COUNTIF(Defects!$D:$D,$A23)</f>
        <v/>
      </c>
    </row>
    <row r="24">
      <c r="A24" s="8">
        <f>Lists!A21</f>
        <v/>
      </c>
      <c r="B24" s="8">
        <f>COUNTIFS(Defects!$D:$D,$A24,Defects!$L:$L,"Open")</f>
        <v/>
      </c>
      <c r="C24" s="8">
        <f>COUNTIFS(Defects!$D:$D,$A24,Defects!$K:$K,"Critical")</f>
        <v/>
      </c>
      <c r="D24" s="8">
        <f>COUNTIFS(Defects!$D:$D,$A24,Defects!$K:$K,"Major")</f>
        <v/>
      </c>
      <c r="E24" s="8">
        <f>COUNTIF(Defects!$D:$D,$A24)</f>
        <v/>
      </c>
    </row>
    <row r="25">
      <c r="A25" s="8">
        <f>Lists!A22</f>
        <v/>
      </c>
      <c r="B25" s="8">
        <f>COUNTIFS(Defects!$D:$D,$A25,Defects!$L:$L,"Open")</f>
        <v/>
      </c>
      <c r="C25" s="8">
        <f>COUNTIFS(Defects!$D:$D,$A25,Defects!$K:$K,"Critical")</f>
        <v/>
      </c>
      <c r="D25" s="8">
        <f>COUNTIFS(Defects!$D:$D,$A25,Defects!$K:$K,"Major")</f>
        <v/>
      </c>
      <c r="E25" s="8">
        <f>COUNTIF(Defects!$D:$D,$A25)</f>
        <v/>
      </c>
    </row>
    <row r="26">
      <c r="A26" s="8">
        <f>Lists!A23</f>
        <v/>
      </c>
      <c r="B26" s="8">
        <f>COUNTIFS(Defects!$D:$D,$A26,Defects!$L:$L,"Open")</f>
        <v/>
      </c>
      <c r="C26" s="8">
        <f>COUNTIFS(Defects!$D:$D,$A26,Defects!$K:$K,"Critical")</f>
        <v/>
      </c>
      <c r="D26" s="8">
        <f>COUNTIFS(Defects!$D:$D,$A26,Defects!$K:$K,"Major")</f>
        <v/>
      </c>
      <c r="E26" s="8">
        <f>COUNTIF(Defects!$D:$D,$A26)</f>
        <v/>
      </c>
    </row>
    <row r="27">
      <c r="A27" s="8">
        <f>Lists!A24</f>
        <v/>
      </c>
      <c r="B27" s="8">
        <f>COUNTIFS(Defects!$D:$D,$A27,Defects!$L:$L,"Open")</f>
        <v/>
      </c>
      <c r="C27" s="8">
        <f>COUNTIFS(Defects!$D:$D,$A27,Defects!$K:$K,"Critical")</f>
        <v/>
      </c>
      <c r="D27" s="8">
        <f>COUNTIFS(Defects!$D:$D,$A27,Defects!$K:$K,"Major")</f>
        <v/>
      </c>
      <c r="E27" s="8">
        <f>COUNTIF(Defects!$D:$D,$A27)</f>
        <v/>
      </c>
    </row>
    <row r="28">
      <c r="A28" s="8">
        <f>Lists!A25</f>
        <v/>
      </c>
      <c r="B28" s="8">
        <f>COUNTIFS(Defects!$D:$D,$A28,Defects!$L:$L,"Open")</f>
        <v/>
      </c>
      <c r="C28" s="8">
        <f>COUNTIFS(Defects!$D:$D,$A28,Defects!$K:$K,"Critical")</f>
        <v/>
      </c>
      <c r="D28" s="8">
        <f>COUNTIFS(Defects!$D:$D,$A28,Defects!$K:$K,"Major")</f>
        <v/>
      </c>
      <c r="E28" s="8">
        <f>COUNTIF(Defects!$D:$D,$A28)</f>
        <v/>
      </c>
    </row>
    <row r="29">
      <c r="A29" s="10" t="inlineStr">
        <is>
          <t>All modules</t>
        </is>
      </c>
      <c r="B29" s="11">
        <f>SUM(B5:B28)</f>
        <v/>
      </c>
      <c r="C29" s="11">
        <f>SUM(C5:C28)</f>
        <v/>
      </c>
      <c r="D29" s="11">
        <f>SUM(D5:D28)</f>
        <v/>
      </c>
      <c r="E29" s="11">
        <f>SUM(E5:E28)</f>
        <v/>
      </c>
    </row>
    <row r="31">
      <c r="A31" s="12" t="inlineStr">
        <is>
          <t>By status</t>
        </is>
      </c>
    </row>
    <row r="32">
      <c r="A32" s="8">
        <f>Lists!C2</f>
        <v/>
      </c>
      <c r="B32" s="8">
        <f>COUNTIF(Defects!$L:$L,$A32)</f>
        <v/>
      </c>
    </row>
    <row r="33">
      <c r="A33" s="8">
        <f>Lists!C3</f>
        <v/>
      </c>
      <c r="B33" s="8">
        <f>COUNTIF(Defects!$L:$L,$A33)</f>
        <v/>
      </c>
    </row>
    <row r="34">
      <c r="A34" s="8">
        <f>Lists!C4</f>
        <v/>
      </c>
      <c r="B34" s="8">
        <f>COUNTIF(Defects!$L:$L,$A34)</f>
        <v/>
      </c>
    </row>
    <row r="35">
      <c r="A35" s="8">
        <f>Lists!C5</f>
        <v/>
      </c>
      <c r="B35" s="8">
        <f>COUNTIF(Defects!$L:$L,$A35)</f>
        <v/>
      </c>
    </row>
    <row r="36">
      <c r="A36" s="8">
        <f>Lists!C6</f>
        <v/>
      </c>
      <c r="B36" s="8">
        <f>COUNTIF(Defects!$L:$L,$A36)</f>
        <v/>
      </c>
    </row>
    <row r="37">
      <c r="A37" s="8">
        <f>Lists!C7</f>
        <v/>
      </c>
      <c r="B37" s="8">
        <f>COUNTIF(Defects!$L:$L,$A37)</f>
        <v/>
      </c>
    </row>
    <row r="38">
      <c r="A38" s="8">
        <f>Lists!C8</f>
        <v/>
      </c>
      <c r="B38" s="8">
        <f>COUNTIF(Defects!$L:$L,$A38)</f>
        <v/>
      </c>
    </row>
    <row r="39">
      <c r="A39" s="8">
        <f>Lists!C9</f>
        <v/>
      </c>
      <c r="B39" s="8">
        <f>COUNTIF(Defects!$L:$L,$A39)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3" t="inlineStr">
        <is>
          <t>NEXAUTO — Defect log</t>
        </is>
      </c>
    </row>
    <row r="2">
      <c r="A2" s="14" t="inlineStr"/>
      <c r="B2" s="15" t="inlineStr"/>
    </row>
    <row r="3">
      <c r="A3" s="14" t="inlineStr">
        <is>
          <t>One row per defect.</t>
        </is>
      </c>
      <c r="B3" s="15" t="inlineStr">
        <is>
          <t>Fill a row on the Defects sheet. The ID fills itself in.</t>
        </is>
      </c>
    </row>
    <row r="4">
      <c r="A4" s="14" t="inlineStr">
        <is>
          <t>Module</t>
        </is>
      </c>
      <c r="B4" s="15" t="inlineStr">
        <is>
          <t>Pick from the dropdown. It is the one column that makes the Summary sheet work, so always set it.</t>
        </is>
      </c>
    </row>
    <row r="5">
      <c r="A5" s="14" t="inlineStr">
        <is>
          <t>Role and Device</t>
        </is>
      </c>
      <c r="B5" s="15" t="inlineStr">
        <is>
          <t>Most of this app's bugs only show for one role, or only on a phone. Say which.</t>
        </is>
      </c>
    </row>
    <row r="6">
      <c r="A6" s="14" t="inlineStr">
        <is>
          <t>Steps to reproduce</t>
        </is>
      </c>
      <c r="B6" s="15" t="inlineStr">
        <is>
          <t>Numbered, starting from signing in. If someone else cannot follow them, it will come back to you.</t>
        </is>
      </c>
    </row>
    <row r="7">
      <c r="A7" s="14" t="inlineStr">
        <is>
          <t>Expected vs Actual</t>
        </is>
      </c>
      <c r="B7" s="15" t="inlineStr">
        <is>
          <t>Two separate boxes on purpose. "It is broken" is not a defect report.</t>
        </is>
      </c>
    </row>
    <row r="8">
      <c r="A8" s="14" t="inlineStr">
        <is>
          <t>Severity</t>
        </is>
      </c>
      <c r="B8" s="15" t="inlineStr">
        <is>
          <t>How badly it hurts, not how annoyed you are.</t>
        </is>
      </c>
    </row>
    <row r="9">
      <c r="A9" s="14" t="inlineStr">
        <is>
          <t>Status</t>
        </is>
      </c>
      <c r="B9" s="15" t="inlineStr">
        <is>
          <t>Move it along as it goes. Fixed — to retest means the developer is done, not that it works.</t>
        </is>
      </c>
    </row>
    <row r="10">
      <c r="A10" s="14" t="inlineStr">
        <is>
          <t>Adding a module</t>
        </is>
      </c>
      <c r="B10" s="15" t="inlineStr">
        <is>
          <t>Type it on the Lists sheet. The dropdown picks it up straight away.</t>
        </is>
      </c>
    </row>
    <row r="11">
      <c r="A11" s="14" t="inlineStr">
        <is>
          <t>Filter, do not sort</t>
        </is>
      </c>
      <c r="B11" s="15" t="inlineStr">
        <is>
          <t>The ID comes from the row number. Use the filter arrows to narrow the list — that is safe. If you genuinely need to re-sort, copy column A and Paste Special → Values first, or the IDs follow the rows.</t>
        </is>
      </c>
    </row>
    <row r="12">
      <c r="A12" s="14" t="inlineStr"/>
      <c r="B12" s="15" t="inlineStr"/>
    </row>
    <row r="13">
      <c r="A13" s="12" t="inlineStr">
        <is>
          <t>Severity</t>
        </is>
      </c>
    </row>
    <row r="14">
      <c r="A14" s="10" t="inlineStr">
        <is>
          <t>Critical</t>
        </is>
      </c>
      <c r="B14" t="inlineStr">
        <is>
          <t>Work stops. Data is lost or wrong, or nobody can sign in.</t>
        </is>
      </c>
    </row>
    <row r="15">
      <c r="A15" s="10" t="inlineStr">
        <is>
          <t>Major</t>
        </is>
      </c>
      <c r="B15" t="inlineStr">
        <is>
          <t>A job cannot be completed, but there is a way round it.</t>
        </is>
      </c>
    </row>
    <row r="16">
      <c r="A16" s="10" t="inlineStr">
        <is>
          <t>Minor</t>
        </is>
      </c>
      <c r="B16" t="inlineStr">
        <is>
          <t>Wrong behaviour that does not stop the work.</t>
        </is>
      </c>
    </row>
    <row r="17">
      <c r="A17" s="10" t="inlineStr">
        <is>
          <t>Cosmetic</t>
        </is>
      </c>
      <c r="B17" t="inlineStr">
        <is>
          <t>Looks or reads wrong. Works fine.</t>
        </is>
      </c>
    </row>
    <row r="19">
      <c r="A19" s="12" t="inlineStr">
        <is>
          <t>A good example</t>
        </is>
      </c>
    </row>
    <row r="20">
      <c r="A20" s="16" t="inlineStr">
        <is>
          <t>Module</t>
        </is>
      </c>
      <c r="B20" s="15" t="inlineStr">
        <is>
          <t>Orders list</t>
        </is>
      </c>
    </row>
    <row r="21">
      <c r="A21" s="16" t="inlineStr">
        <is>
          <t>Role when seen</t>
        </is>
      </c>
      <c r="B21" s="15" t="inlineStr">
        <is>
          <t>Owner</t>
        </is>
      </c>
    </row>
    <row r="22">
      <c r="A22" s="16" t="inlineStr">
        <is>
          <t>Device</t>
        </is>
      </c>
      <c r="B22" s="15" t="inlineStr">
        <is>
          <t>Phone</t>
        </is>
      </c>
    </row>
    <row r="23">
      <c r="A23" s="16" t="inlineStr">
        <is>
          <t>Summary</t>
        </is>
      </c>
      <c r="B23" s="15" t="inlineStr">
        <is>
          <t>Money owed chip sits at the end of the filters, not next to Completed</t>
        </is>
      </c>
    </row>
    <row r="24">
      <c r="A24" s="16" t="inlineStr">
        <is>
          <t>Steps to reproduce</t>
        </is>
      </c>
      <c r="B24" s="15" t="inlineStr">
        <is>
          <t>1. Sign in as owner.  2. Close a job with "Has the money arrived?" = No.  3. Go to Orders and read the filter chips left to right.</t>
        </is>
      </c>
    </row>
    <row r="25">
      <c r="A25" s="16" t="inlineStr">
        <is>
          <t>Expected result</t>
        </is>
      </c>
      <c r="B25" s="15" t="inlineStr">
        <is>
          <t>Money owed sits between Awaiting payment and Completed, the same order as the job's progress bar.</t>
        </is>
      </c>
    </row>
    <row r="26">
      <c r="A26" s="16" t="inlineStr">
        <is>
          <t>Actual result</t>
        </is>
      </c>
      <c r="B26" s="15" t="inlineStr">
        <is>
          <t>Money owed is the last chip, after Declined.</t>
        </is>
      </c>
    </row>
    <row r="27">
      <c r="A27" s="16" t="inlineStr">
        <is>
          <t>Severity</t>
        </is>
      </c>
      <c r="B27" s="15" t="inlineStr">
        <is>
          <t>Minor</t>
        </is>
      </c>
    </row>
    <row r="28">
      <c r="A28" s="16" t="inlineStr">
        <is>
          <t>Status</t>
        </is>
      </c>
      <c r="B28" s="15" t="inlineStr">
        <is>
          <t>Fixed — to retest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2026-09-23T14:16:24Z</dcterms:created>
  <dcterms:modified xsi:type="dcterms:W3CDTF">2026-09-23T14:16:24Z</dcterms:modified>
</cp:coreProperties>
</file>